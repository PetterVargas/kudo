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Escala" state="visible" r:id="rId5"/>
    <sheet sheetId="3" name="Rangos de Madurez" state="visible" r:id="rId6"/>
    <sheet sheetId="4" name="Cuestionario - Completo" state="visible" r:id="rId7"/>
    <sheet sheetId="5" name="Resultado - Completo" state="visible" r:id="rId8"/>
    <sheet sheetId="6" name="Cuestionario - Interno" state="visible" r:id="rId9"/>
    <sheet sheetId="7" name="Cuestionario - Terceros" state="visible" r:id="rId10"/>
    <sheet sheetId="8" name="Cuestionario - Externo" state="visible" r:id="rId11"/>
  </sheets>
  <calcPr calcId="171027"/>
</workbook>
</file>

<file path=xl/sharedStrings.xml><?xml version="1.0" encoding="utf-8"?>
<sst xmlns="http://schemas.openxmlformats.org/spreadsheetml/2006/main" count="3080" uniqueCount="1149">
  <si>
    <t/>
  </si>
  <si>
    <t>Cuestionario de Madurez en Ciberseguridad — Kudo</t>
  </si>
  <si>
    <t>Cuestionario Completo (agrupa los ámbitos Interno, de Terceros y Externo)</t>
  </si>
  <si>
    <t>Objetivo</t>
  </si>
  <si>
    <t>Este cuestionario es un ejercicio mayéutico de autoevaluación, no un examen de pasar/fallar. La ciberseguridad no es binaria: cada requisito debe interpretarse a la luz del apetito de riesgo, el tamaño, la estrategia y el momento de negocio de tu organización.</t>
  </si>
  <si>
    <t>Cómo usar este archivo</t>
  </si>
  <si>
    <t>1. Ve a la pestaña "Cuestionario - Completo".</t>
  </si>
  <si>
    <t>2. Para cada uno de los 491 requisitos, selecciona en la columna "Respuesta (0-5)" un valor de la lista desplegable, según el nivel de madurez real de tu organización frente a ese requisito.</t>
  </si>
  <si>
    <t>3. Las columnas "% Cumplimiento" y "Nivel de Madurez" de cada fila se calculan automáticamente.</t>
  </si>
  <si>
    <t>4. Ve a la pestaña "Resultado - Completo" para ver el nivel de madurez global y el desglose por dominio, calculado en vivo a partir de tus respuestas.</t>
  </si>
  <si>
    <t>5. Consulta la pestaña "Escala" para el detalle de la escala 0-5, y "Rangos de Madurez" para la interpretación de los porcentajes finales.</t>
  </si>
  <si>
    <t>Escala por pregunta (0 a 5)</t>
  </si>
  <si>
    <t>Cada pregunta se califica en una escala de 0 a 5, donde cada punto representa un incremento del 20% del nivel máximo de madurez. Ver hoja "Escala".</t>
  </si>
  <si>
    <t>Fórmula de madurez del cuestionario</t>
  </si>
  <si>
    <t>M = ( Σ pi / (5 × n) ) × 100</t>
  </si>
  <si>
    <t>Donde Σpi es la sumatoria de los puntos obtenidos en todas las preguntas, 5 es la puntuación máxima por pregunta, y n es el número total de preguntas.</t>
  </si>
  <si>
    <t>Ámbitos de gestión</t>
  </si>
  <si>
    <t>El framework Kudo contempla 4 cuestionarios según el ámbito de gestión: Interno (Corporativo), de Terceros (Proveedores y Partners), Externo (Clientes), y este Completo que agrupa los 491 requisitos de los 8 dominios. Los cuestionarios por ámbito (pestañas "Cuestionario - Interno / Terceros / Externo") están pendientes de definir su criterio de alcance por requisito y se dejan como referencia — usa el Completo mientras tanto.</t>
  </si>
  <si>
    <t>Generado a partir del catálogo OSCAL de Kudo (content/framework/oscal/kudo/rev1/json/kudo-catalog.json) — 491 requisitos, 35 controles, 8 dominios.</t>
  </si>
  <si>
    <t>Puntuación</t>
  </si>
  <si>
    <t>Cumplimiento</t>
  </si>
  <si>
    <t>Nivel de Madurez</t>
  </si>
  <si>
    <t>Descripción</t>
  </si>
  <si>
    <t>No implementado</t>
  </si>
  <si>
    <t>El requisito no existe o no ha sido considerado.</t>
  </si>
  <si>
    <t>Inicial</t>
  </si>
  <si>
    <t>El requisito existe de manera reactiva o informal.</t>
  </si>
  <si>
    <t>Documentado</t>
  </si>
  <si>
    <t>El requisito está documentado y se aplica de forma consistente.</t>
  </si>
  <si>
    <t>Estandarizado</t>
  </si>
  <si>
    <t>El requisito está definido y se aplica de forma uniforme en la organización.</t>
  </si>
  <si>
    <t>Gestionado</t>
  </si>
  <si>
    <t>El requisito se mide mediante indicadores y existe evidencia de su gestión.</t>
  </si>
  <si>
    <t>Optimizado</t>
  </si>
  <si>
    <t>El requisito se mejora continuamente mediante métricas, automatización y retroalimentación.</t>
  </si>
  <si>
    <t>Cumplimiento mínimo</t>
  </si>
  <si>
    <t>Rango</t>
  </si>
  <si>
    <t>0% – 19%</t>
  </si>
  <si>
    <t>Nivel 0 – Crítico</t>
  </si>
  <si>
    <t>La organización presenta un nivel de madurez crítico. Los procesos y controles de ciberseguridad son inexistentes o insuficientes para gestionar adecuadamente los riesgos. No existe un apetito de riesgo definido y las decisiones de negocio se toman sin considerar de forma estructurada la exposición al riesgo cibernético.</t>
  </si>
  <si>
    <t>20% – 39%</t>
  </si>
  <si>
    <t>Nivel 1 – Básico</t>
  </si>
  <si>
    <t>La organización cuenta con prácticas iniciales de ciberseguridad implementadas de forma reactiva o informal. El apetito de riesgo no se encuentra formalizado o es poco conocido, por lo que las decisiones de negocio suelen tomarse con información limitada sobre el riesgo cibernético.</t>
  </si>
  <si>
    <t>40% – 59%</t>
  </si>
  <si>
    <t>Nivel 2 – Operacional</t>
  </si>
  <si>
    <t>Existen procesos y controles documentados que se ejecutan de forma consistente, aunque con oportunidades de fortalecimiento. El apetito de riesgo comienza a utilizarse como referencia para la operación, pero las decisiones aún son mayoritariamente reactivas.</t>
  </si>
  <si>
    <t>60% – 79%</t>
  </si>
  <si>
    <t>Nivel 3 – Táctico</t>
  </si>
  <si>
    <t>Los procesos de ciberseguridad están definidos, documentados y estandarizados. La gestión del riesgo es consistente y las decisiones tácticas consideran el apetito de riesgo, aunque su aplicación aún no es uniforme en toda la organización.</t>
  </si>
  <si>
    <t>80% – 99%</t>
  </si>
  <si>
    <t>Nivel 4 – Estratégico</t>
  </si>
  <si>
    <t>La ciberseguridad se gestiona como un habilitador del negocio. Los controles son medidos y existe evidencia de su eficacia. El apetito de riesgo se utiliza para priorizar inversiones, definir excepciones y respaldar decisiones estratégicas de manera informada.</t>
  </si>
  <si>
    <t>100%</t>
  </si>
  <si>
    <t>Nivel 5 – Co-creación de Ciberseguridad</t>
  </si>
  <si>
    <t>La ciberseguridad forma parte de la estrategia y de la toma de decisiones del negocio. Existe mejora continua, automatización, métricas y una cultura de colaboración entre las áreas. El apetito de riesgo está claramente definido, es monitoreado continuamente y las decisiones de negocio consideran el impacto sobre el riesgo cibernético como un factor estratégico.</t>
  </si>
  <si>
    <t>N°</t>
  </si>
  <si>
    <t>ID Dominio</t>
  </si>
  <si>
    <t>Dominio</t>
  </si>
  <si>
    <t>ID Control</t>
  </si>
  <si>
    <t>Control</t>
  </si>
  <si>
    <t>ID Requisito</t>
  </si>
  <si>
    <t>Requisito (Pregunta)</t>
  </si>
  <si>
    <t>Respuesta (0-5)</t>
  </si>
  <si>
    <t>% Cumplimiento</t>
  </si>
  <si>
    <t>ADR</t>
  </si>
  <si>
    <t>Análisis, Detección y Respuesta de Ciberseguridad</t>
  </si>
  <si>
    <t>ADR-1</t>
  </si>
  <si>
    <t>Protección contra Software Malicioso</t>
  </si>
  <si>
    <t>ADR-1-req-1</t>
  </si>
  <si>
    <t>Implementamos controles para prevenir, detectar y neutralizar amenazas provenientes de software malicioso en todos los sistemas de la organización.</t>
  </si>
  <si>
    <t>ADR-1-req-2</t>
  </si>
  <si>
    <t>Desplegamos soluciones antimalware con capacidad de detección basada en comportamiento en endpoints, servidores y entornos cloud.</t>
  </si>
  <si>
    <t>ADR-1-req-3</t>
  </si>
  <si>
    <t>Alertamos a los colaboradores ante comunicaciones sospechosas detectadas.</t>
  </si>
  <si>
    <t>ADR-1-req-4</t>
  </si>
  <si>
    <t>Formamos adecuadamente a los usuarios en el reconocimiento y prevención de software malicioso como complemento a las protecciones técnicas implementadas.</t>
  </si>
  <si>
    <t>ADR-1-req-5</t>
  </si>
  <si>
    <t>Controlamos el acceso a sitios web externos para reducir la exposición a contenido malicioso o no autorizado según la política de uso aceptable de la organización.</t>
  </si>
  <si>
    <t>ADR-1-req-6</t>
  </si>
  <si>
    <t>Actualizamos continuamente las firmas y modelos de detección sin intervención manual.</t>
  </si>
  <si>
    <t>ADR-1-req-7</t>
  </si>
  <si>
    <t>Analizamos los archivos en sandbox antes de su ejecución (detonación controlada).</t>
  </si>
  <si>
    <t>ADR-1-req-8</t>
  </si>
  <si>
    <t>Detectamos técnicas de evasión avanzadas como fileless malware y living-off-the-land.</t>
  </si>
  <si>
    <t>ADR-1-req-9</t>
  </si>
  <si>
    <t>Implementamos listas de control de aplicaciones autorizadas (whitelisting) en todos los sistemas.</t>
  </si>
  <si>
    <t>ADR-1-req-10</t>
  </si>
  <si>
    <t>Aplicamos cuarentena automática ante la detección de amenazas en endpoints, servidores y entornos cloud.</t>
  </si>
  <si>
    <t>ADR-1-req-11</t>
  </si>
  <si>
    <t>Protegemos el correo electrónico corporativo con análisis de adjuntos en sandbox y verificación de URLs mediante sistemas de reputación en tiempo real.</t>
  </si>
  <si>
    <t>ADR-1-req-12</t>
  </si>
  <si>
    <t>Habilitamos DMARC, DKIM y SPF para la protección del correo electrónico contra phishing y suplantación.</t>
  </si>
  <si>
    <t>ADR-1-req-13</t>
  </si>
  <si>
    <t>Implementamos filtrado de contenido web con bloqueo de dominios maliciosos conocidos y análisis SSL inspection.</t>
  </si>
  <si>
    <t>ADR-2</t>
  </si>
  <si>
    <t>Gestión, Identificación y Remediación de Vulnerabilidades</t>
  </si>
  <si>
    <t>ADR-2-req-1</t>
  </si>
  <si>
    <t>Implementamos un programa continuo de identificación, clasificación, priorización y remediación de vulnerabilidades en todos los activos tecnológicos.</t>
  </si>
  <si>
    <t>ADR-2-req-2</t>
  </si>
  <si>
    <t>Ejecutamos escaneos de vulnerabilidades con frecuencia secuencial programada para sistemas críticos y para el resto del parque tecnológico.</t>
  </si>
  <si>
    <t>ADR-2-req-3</t>
  </si>
  <si>
    <t>Cubrimos un porcentaje definido de los activos registrados en el inventario con los escaneos de vulnerabilidades.</t>
  </si>
  <si>
    <t>ADR-2-req-4</t>
  </si>
  <si>
    <t>Priorizamos las vulnerabilidades basándonos en el score CVSS y la criticidad del activo afectado.</t>
  </si>
  <si>
    <t>ADR-2-req-5</t>
  </si>
  <si>
    <t>Importamos los resultados al sistema de gestión de tickets y los asignamos al propietario del activo para su remediación.</t>
  </si>
  <si>
    <t>ADR-2-req-6</t>
  </si>
  <si>
    <t>Aplicamos SLAs de remediación definido por criticidad de vulnerabilidad.</t>
  </si>
  <si>
    <t>ADR-2-req-7</t>
  </si>
  <si>
    <t>Exigimos aprobación de un líder, documentación de controles compensatorios y fecha máxima de resolución para las excepciones.</t>
  </si>
  <si>
    <t>ADR-2-req-8</t>
  </si>
  <si>
    <t>Recopilamos información sobre amenazas a la seguridad de la información proveniente de fuentes externas (CVE, advisories de fabricantes, feeds de inteligencia) para generar inteligencia útil sobre ellas.</t>
  </si>
  <si>
    <t>ADR-2-req-9</t>
  </si>
  <si>
    <t>Analizamos la información recopilada sobre amenazas a la seguridad de la información para generar inteligencia útil y accionable que oriente las decisiones de remediación.</t>
  </si>
  <si>
    <t>ADR-2-req-10</t>
  </si>
  <si>
    <t>Obtenemos información actualizada sobre las vulnerabilidades técnicas de los sistemas de información que usa la organización a través de fuentes externas autorizadas, complementando los resultados de los escaneos internos.</t>
  </si>
  <si>
    <t>ADR-2-req-11</t>
  </si>
  <si>
    <t>Monitoreamos automáticamente el cumplimiento de los SLAs y escalamos al responsable del área ante incumplimientos.</t>
  </si>
  <si>
    <t>ADR-2-req-12</t>
  </si>
  <si>
    <t>Verificamos la remediación de vulnerabilidades mediante reescaneo.</t>
  </si>
  <si>
    <t>ADR-2-req-13</t>
  </si>
  <si>
    <t>Revisamos con frecuencia programada las excepciones vigentes.</t>
  </si>
  <si>
    <t>ADR-3</t>
  </si>
  <si>
    <t>Retención y Monitoreo de Registros</t>
  </si>
  <si>
    <t>ADR-3-req-1</t>
  </si>
  <si>
    <t>Recolectamos y centralizamos en un SIEM los logs de seguridad de todos los sistemas, aplicaciones e infraestructura de la organización.</t>
  </si>
  <si>
    <t>ADR-3-req-2</t>
  </si>
  <si>
    <t>Definimos y cubrimos las fuentes de logs obligatorias: sistemas operativos, aplicaciones críticas, firewalls, proxies, identity providers y sistemas cloud.</t>
  </si>
  <si>
    <t>ADR-3-req-3</t>
  </si>
  <si>
    <t>Transmitimos los logs en tiempo real al SIEM y validamos periódicamente la integridad del flujo de datos.</t>
  </si>
  <si>
    <t>ADR-3-req-4</t>
  </si>
  <si>
    <t>Retenemos los logs en almacenamiento activo en el SIEM durante un tiempo definido.</t>
  </si>
  <si>
    <t>ADR-3-req-5</t>
  </si>
  <si>
    <t>Retenemos los logs en almacenamiento de archivo por un período de tiempo definido.</t>
  </si>
  <si>
    <t>ADR-3-req-6</t>
  </si>
  <si>
    <t>Protegemos los logs archivados contra modificación mediante controles de inmutabilidad (WORM storage).</t>
  </si>
  <si>
    <t>ADR-3-req-7</t>
  </si>
  <si>
    <t>Implementamos reglas de correlación y detección en el SIEM para identificar comportamientos anómalos de alto interés.</t>
  </si>
  <si>
    <t>ADR-3-req-8</t>
  </si>
  <si>
    <t>Alertamos automáticamente ante: múltiples fallos de autenticación, accesos fuera de horario a sistemas críticos, exfiltración de datos, movimiento lateral y escalamiento de privilegios.</t>
  </si>
  <si>
    <t>ADR-3-req-9</t>
  </si>
  <si>
    <t>Habilitamos y configuramos la generación de registros de actividades, errores, fallos y otros eventos relevantes para la seguridad de la información en todos los sistemas origen.</t>
  </si>
  <si>
    <t>ADR-3-req-10</t>
  </si>
  <si>
    <t>Protegemos los registros en almacenamiento activo y en tránsito contra alteración o eliminación, complementando los controles de inmutabilidad aplicados al almacenamiento de archivo.</t>
  </si>
  <si>
    <t>ADR-3-req-11</t>
  </si>
  <si>
    <t>Inventariamos las fuentes de log y revisamos su cobertura con frecuencia programada.</t>
  </si>
  <si>
    <t>ADR-3-req-12</t>
  </si>
  <si>
    <t>Operamos dashboards de monitoreo continuo de seguridad desde el equipo de SOC.</t>
  </si>
  <si>
    <t>ADR-4</t>
  </si>
  <si>
    <t>Atención de Eventos y/o Incidentes de Ciberseguridad</t>
  </si>
  <si>
    <t>ADR-4-req-1</t>
  </si>
  <si>
    <t>Definimos un proceso estructurado de respuesta a incidentes con etapas formales: detección, análisis, clasificación, contención, erradicación, recuperación y cierre.</t>
  </si>
  <si>
    <t>ADR-4-req-2</t>
  </si>
  <si>
    <t>Clasificamos los incidentes por severidad (P1 crítico, P2 alto, P3 medio, P4 bajo) con tiempos máximos de respuesta inicial y resolución definidos.</t>
  </si>
  <si>
    <t>ADR-4-req-3</t>
  </si>
  <si>
    <t>Conformamos un equipo de respuesta a incidentes (IRT/CSIRT) con roles y responsabilidades asignadas.</t>
  </si>
  <si>
    <t>ADR-4-req-4</t>
  </si>
  <si>
    <t>Garantizamos disponibilidad 24/7 del equipo de respuesta para incidentes de severidad P1 y P2.</t>
  </si>
  <si>
    <t>ADR-4-req-5</t>
  </si>
  <si>
    <t>Mantenemos playbooks de respuesta documentados y actualizados para los tipos de incidentes más frecuentes: ransomware, phishing dirigido, acceso no autorizado, fuga de datos y compromiso de cuentas privilegiadas.</t>
  </si>
  <si>
    <t>ADR-4-req-6</t>
  </si>
  <si>
    <t>Definimos en cada playbook los pasos específicos de contención, erradicación y recuperación.</t>
  </si>
  <si>
    <t>ADR-4-req-7</t>
  </si>
  <si>
    <t>Establecemos los umbrales de escalamiento y los criterios de notificación a reguladores dentro de los plazos legales aplicables.</t>
  </si>
  <si>
    <t>ADR-4-req-8</t>
  </si>
  <si>
    <t>Establecemos y mantenemos conexiones activas con grupos especializados, foros y asociaciones profesionales del ámbito de la seguridad de la información.</t>
  </si>
  <si>
    <t>ADR-4-req-9</t>
  </si>
  <si>
    <t>Proporcionamos un canal claro y accesible para que el personal reporte de forma oportuna cualquier evento de seguridad observado o sospechoso.</t>
  </si>
  <si>
    <t>ADR-4-req-10</t>
  </si>
  <si>
    <t>Establecemos procedimientos para identificar, recoger, adquirir y preservar evidencias relacionadas con eventos e incidentes de seguridad de la información.</t>
  </si>
  <si>
    <t>ADR-4-req-11</t>
  </si>
  <si>
    <t>Aplicamos los procedimientos de gestión de evidencias en todos los eventos e incidentes de seguridad garantizando la integridad de la cadena de custodia.</t>
  </si>
  <si>
    <t>ADR-4-req-12</t>
  </si>
  <si>
    <t>Definimos y mantenemos planes iniciales de mitigación masiva en protección de identidad que permitan ejecutar acciones a escala ante un compromiso generalizado de credenciales, incluyendo reset forzado masivo de contraseñas, habilitación de MFA de forma masiva y bloqueo de cuentas comprometidas.</t>
  </si>
  <si>
    <t>ADR-4-req-13</t>
  </si>
  <si>
    <t>Realizamos análisis post-mortem obligatorio para todos los incidentes de severidad P1 y P2.</t>
  </si>
  <si>
    <t>ADR-4-req-14</t>
  </si>
  <si>
    <t>Actualizamos los playbooks tras cada incidente significativo incorporando las lecciones aprendidas.</t>
  </si>
  <si>
    <t>ADR-4-req-15</t>
  </si>
  <si>
    <t>Identificamos y registramos lecciones aprendidas para todos los incidentes de severidad P1 y P2.</t>
  </si>
  <si>
    <t>ADR-4-req-16</t>
  </si>
  <si>
    <t>Aprovechamos las lecciones aprendidas de los incidentes de seguridad para fortalecer y mejorar los controles de seguridad existentes más allá de la actualización de playbooks.</t>
  </si>
  <si>
    <t>CAP</t>
  </si>
  <si>
    <t>Ciberseguridad en Aplicaciones</t>
  </si>
  <si>
    <t>CAP-1</t>
  </si>
  <si>
    <t>Ciberseguridad en el Ciclo de Desarrollo del Software</t>
  </si>
  <si>
    <t>CAP-1-req-1</t>
  </si>
  <si>
    <t>Integramos prácticas de seguridad en todas las fases del SDLC bajo un enfoque Shift Left.</t>
  </si>
  <si>
    <t>CAP-1-req-2</t>
  </si>
  <si>
    <t>Realizamos modelado de amenazas de negocio en la fase de planificación de cada iniciativa de desarrollo.</t>
  </si>
  <si>
    <t>CAP-1-req-3</t>
  </si>
  <si>
    <t>Realizamos modelado de amenazas entre componentes arquitectónicos en la fase de planificación de cada iniciativa de desarrollo.</t>
  </si>
  <si>
    <t>CAP-1-req-4</t>
  </si>
  <si>
    <t>Definimos requisitos de seguridad funcionales y no funcionales antes de iniciar el diseño.</t>
  </si>
  <si>
    <t>CAP-1-req-5</t>
  </si>
  <si>
    <t>Revisamos la arquitectura de seguridad aplicando principios de Defense in Depth en la fase de diseño.</t>
  </si>
  <si>
    <t>CAP-1-req-6</t>
  </si>
  <si>
    <t>Definimos y mantenemos estándares de codificación segura basados en OWASP Top 10 y SANS CWE/25.</t>
  </si>
  <si>
    <t>CAP-1-req-7</t>
  </si>
  <si>
    <t>Capacitamos a los desarrolladores en codificación segura con frecuencia programada.</t>
  </si>
  <si>
    <t>CAP-1-req-8</t>
  </si>
  <si>
    <t>Definimos SLAs de remediación para los defectos de seguridad encontrados en las pruebas.</t>
  </si>
  <si>
    <t>CAP-1-req-9</t>
  </si>
  <si>
    <t>Gestionamos adecuadamente quién puede leer el código fuente, las herramientas de desarrollo y las bibliotecas de software.</t>
  </si>
  <si>
    <t>CAP-1-req-10</t>
  </si>
  <si>
    <t>Gestionamos adecuadamente quién puede modificar el código fuente, las herramientas de desarrollo y las bibliotecas de software.</t>
  </si>
  <si>
    <t>CAP-1-req-11</t>
  </si>
  <si>
    <t>Especificamos con claridad los requisitos de seguridad de la información al momento de desarrollar o adquirir nuevas aplicaciones.</t>
  </si>
  <si>
    <t>CAP-1-req-12</t>
  </si>
  <si>
    <t>Aprobamos formalmente los requisitos de seguridad de la información antes de desarrollar o adquirir nuevas aplicaciones.</t>
  </si>
  <si>
    <t>CAP-1-req-13</t>
  </si>
  <si>
    <t>Documentamos los principios de diseño seguro de sistemas para que estén disponibles en todas las actividades de desarrollo.</t>
  </si>
  <si>
    <t>CAP-1-req-14</t>
  </si>
  <si>
    <t>Implementamos pre-commit hooks para verificar automáticamente el cumplimiento de los estándares de seguridad antes de aceptar código en el repositorio.</t>
  </si>
  <si>
    <t>CAP-1-req-15</t>
  </si>
  <si>
    <t>Implementamos workflows de CI/CD con protección de ramas y asignación de codeowners en todas las ramas principales del repositorio.</t>
  </si>
  <si>
    <t>CAP-1-req-16</t>
  </si>
  <si>
    <t>Ejecutamos, tanto en el pipeline CI como en los pull requests, detección automática de secretos en el código fuente.</t>
  </si>
  <si>
    <t>CAP-1-req-17</t>
  </si>
  <si>
    <t>Integramos análisis de seguridad estático (SAST) sobre el código fuente, ejecutándolo de forma automatizada en cada build del pipeline CI.</t>
  </si>
  <si>
    <t>CAP-1-req-18</t>
  </si>
  <si>
    <t>Integramos análisis dinámico (DAST) sobre la aplicación en ejecución en ambiente de staging como parte del pipeline CD.</t>
  </si>
  <si>
    <t>CAP-1-req-19</t>
  </si>
  <si>
    <t>Integramos análisis de composición de software (SCA) para identificar vulnerabilidades en dependencias de terceros, ejecutándolo de forma automatizada en el pipeline CI.</t>
  </si>
  <si>
    <t>CAP-1-req-20</t>
  </si>
  <si>
    <t>Escaneamos las imágenes de contenedor en busca de vulnerabilidades como parte del pipeline CI.</t>
  </si>
  <si>
    <t>CAP-1-req-21</t>
  </si>
  <si>
    <t>Ejecutamos análisis estático de seguridad en toda la infraestructura definida como código (IaC).</t>
  </si>
  <si>
    <t>CAP-1-req-22</t>
  </si>
  <si>
    <t>Validamos las configuraciones desplegadas como parte del pipeline CD.</t>
  </si>
  <si>
    <t>CAP-1-req-23</t>
  </si>
  <si>
    <t>Definimos security gates automatizados con umbrales máximos de vulnerabilidades por severidad que bloquean el despliegue en producción de artefactos con vulnerabilidades críticas o altas.</t>
  </si>
  <si>
    <t>CAP-1-req-24</t>
  </si>
  <si>
    <t>Registramos los resultados de los security gates en el sistema de tickets de seguridad.</t>
  </si>
  <si>
    <t>CAP-1-req-25</t>
  </si>
  <si>
    <t>Gestionamos todos los secretos mediante servicios de vault e inyectamos en tiempo de ejecución.</t>
  </si>
  <si>
    <t>CAP-1-req-26</t>
  </si>
  <si>
    <t>Integramos y verificamos automáticamente el firmado de commits en el SDLC, tanto en el pipeline CI como en los pull requests.</t>
  </si>
  <si>
    <t>CAP-1-req-27</t>
  </si>
  <si>
    <t>Mantenemos separados los entornos de desarrollo, prueba y producción para evitar interferencias entre ellos.</t>
  </si>
  <si>
    <t>CAP-1-req-28</t>
  </si>
  <si>
    <t>Protegemos los entornos de desarrollo, prueba y producción frente a accesos no autorizados o modificaciones indebidas.</t>
  </si>
  <si>
    <t>CAP-1-req-29</t>
  </si>
  <si>
    <t>Monitoreamos continuamente las vulnerabilidades en dependencias y aplicamos parches de seguridad.</t>
  </si>
  <si>
    <t>CAP-1-req-30</t>
  </si>
  <si>
    <t>Mantenemos actualizados los principios de diseño seguro de sistemas a lo largo del tiempo.</t>
  </si>
  <si>
    <t>CAP-2</t>
  </si>
  <si>
    <t>Ciberseguridad en APIs</t>
  </si>
  <si>
    <t>CAP-2-req-1</t>
  </si>
  <si>
    <t>Mantenemos un inventario completo y actualizado de todas las APIs con propietario, audiencia, versión y estado de ciclo de vida.</t>
  </si>
  <si>
    <t>CAP-2-req-2</t>
  </si>
  <si>
    <t>Definimos fecha de expiración para las API keys, las rotamos periódicamente y las revocamos al finalizar su uso.</t>
  </si>
  <si>
    <t>CAP-2-req-3</t>
  </si>
  <si>
    <t>Integramos pruebas de seguridad de APIs (DAST, fuzzing) en el pipeline CI/CD.</t>
  </si>
  <si>
    <t>CAP-2-req-4</t>
  </si>
  <si>
    <t>Implementamos autenticación robusta en todas las APIs mediante OAuth 2.0, OpenID Connect o JWT firmados con algoritmos seguros.</t>
  </si>
  <si>
    <t>CAP-2-req-5</t>
  </si>
  <si>
    <t>Implementamos mTLS para la autenticación mutua entre servicios en APIs críticas.</t>
  </si>
  <si>
    <t>CAP-2-req-6</t>
  </si>
  <si>
    <t>Implementamos autorización granular (RBAC/ABAC) siguiendo el principio de menor privilegio en todas las APIs.</t>
  </si>
  <si>
    <t>CAP-2-req-7</t>
  </si>
  <si>
    <t>Implementamos validación estricta de esquema (OpenAPI/Swagger) en todas las APIs.</t>
  </si>
  <si>
    <t>CAP-2-req-8</t>
  </si>
  <si>
    <t>Sanitizamos todos los inputs para prevenir inyecciones: SQL, NoSQL, command injection y XXE.</t>
  </si>
  <si>
    <t>CAP-2-req-9</t>
  </si>
  <si>
    <t>Implementamos rate limiting por usuario, IP y API key en todas las APIs.</t>
  </si>
  <si>
    <t>CAP-2-req-10</t>
  </si>
  <si>
    <t>Implementamos throttling y circuit breakers para garantizar la disponibilidad del servicio.</t>
  </si>
  <si>
    <t>CAP-2-req-11</t>
  </si>
  <si>
    <t>Enmascaramos los datos sensibles en los logs de API.</t>
  </si>
  <si>
    <t>CAP-2-req-12</t>
  </si>
  <si>
    <t>Implementamos headers de seguridad HTTP obligatorios: HSTS, CSP y X-Frame-Options.</t>
  </si>
  <si>
    <t>CAP-2-req-13</t>
  </si>
  <si>
    <t>Monitoreamos continuamente todas las APIs inventariadas.</t>
  </si>
  <si>
    <t>CCN</t>
  </si>
  <si>
    <t>Continuidad y Cambios del Negocio</t>
  </si>
  <si>
    <t>CCN-1</t>
  </si>
  <si>
    <t>Gestión y Control de Cambios</t>
  </si>
  <si>
    <t>CCN-1-req-1</t>
  </si>
  <si>
    <t>Establecemos un proceso formal y estructurado para gestionar todos los cambios en sistemas, aplicaciones e infraestructura.</t>
  </si>
  <si>
    <t>CCN-1-req-2</t>
  </si>
  <si>
    <t>Clasificamos los cambios en categorías: estándar, normal, emergencia y menor.</t>
  </si>
  <si>
    <t>CCN-1-req-3</t>
  </si>
  <si>
    <t>Conformamos un Comité de Aprobación de Cambios (CAB) con representación de los principales líderes de cada cambio.</t>
  </si>
  <si>
    <t>CCN-1-req-4</t>
  </si>
  <si>
    <t>Definimos ventanas de cambio programadas para la implementación de cambios normales.</t>
  </si>
  <si>
    <t>CCN-1-req-5</t>
  </si>
  <si>
    <t>Establecemos períodos de freeze asociados a eventos críticos del negocio, temporadas de alta demanda, fechas del calendario fiscal, entre otros...</t>
  </si>
  <si>
    <t>CCN-1-req-6</t>
  </si>
  <si>
    <t>Documentamos para cada cambio los criterios de éxito y los contactos de escalamiento.</t>
  </si>
  <si>
    <t>CCN-1-req-7</t>
  </si>
  <si>
    <t>Gestionamos los cambios de emergencia con un proceso abreviado que garantiza aprobación mínima de dos princiales aprobadores.</t>
  </si>
  <si>
    <t>CCN-1-req-8</t>
  </si>
  <si>
    <t>Completamos la documentación post-implementación de los cambios de emergencia en un plazo con temporabilidad definida.</t>
  </si>
  <si>
    <t>CCN-1-req-9</t>
  </si>
  <si>
    <t>Exigimos que todos los cambios recorran una cadena de ambientes definidas por la compañía antes de llegar a producción.</t>
  </si>
  <si>
    <t>CCN-1-req-10</t>
  </si>
  <si>
    <t>Buscamos y aplicamos un modelo de responsabilidad compartida que favorezca al Cloud Service Provider (CSP) para reducir la carga operativa de la organización en la gestión de cambios de infraestructura.</t>
  </si>
  <si>
    <t>CCN-1-req-11</t>
  </si>
  <si>
    <t>Identificamos los puntos únicos de falla a partir de la gráfica de la plataforma como parte del análisis de impacto de cada cambio.</t>
  </si>
  <si>
    <t>CCN-1-req-12</t>
  </si>
  <si>
    <t>Implementamos despliegues automáticos en entornos separados de producción como parte de la cadena de ambientes del proceso de cambios.</t>
  </si>
  <si>
    <t>CCN-2</t>
  </si>
  <si>
    <t>Pruebas de Calidad y Seguridad en la Gestión de Cambios</t>
  </si>
  <si>
    <t>CCN-2-req-1</t>
  </si>
  <si>
    <t>Probamos exhaustivamente todos los cambios en ambientes no productivos antes de su implementación en producción.</t>
  </si>
  <si>
    <t>CCN-2-req-2</t>
  </si>
  <si>
    <t>Exigimos una cobertura mínima en pruebas unitarias como criterio de aprobación para la promoción entre ambientes.</t>
  </si>
  <si>
    <t>CCN-2-req-3</t>
  </si>
  <si>
    <t>Garantizamos paridad de configuración entre el ambiente de staging y producción.</t>
  </si>
  <si>
    <t>CCN-2-req-4</t>
  </si>
  <si>
    <t>Bloqueamos el despliegue ante cualquier vulnerabilidad crítica o alta detectada.</t>
  </si>
  <si>
    <t>CCN-2-req-5</t>
  </si>
  <si>
    <t>Requerimos aprobación formal del equipo de calidad y seguridad para la promoción entre ambientes.</t>
  </si>
  <si>
    <t>CCN-2-req-6</t>
  </si>
  <si>
    <t>Ejecutamos SAST sobre el código modificado antes de promover a producción.</t>
  </si>
  <si>
    <t>CCN-2-req-7</t>
  </si>
  <si>
    <t>Ejecutamos DAST sobre la aplicación en ambiente de staging antes de promover a producción.</t>
  </si>
  <si>
    <t>CCN-2-req-8</t>
  </si>
  <si>
    <t>Ejecutamos SCA para verificar la seguridad de las dependencias antes de cada despliegue.</t>
  </si>
  <si>
    <t>CCN-2-req-9</t>
  </si>
  <si>
    <t>Realizamos escaneo de vulnerabilidades de infraestructura cuando aplique al cambio.</t>
  </si>
  <si>
    <t>CCN-2-req-10</t>
  </si>
  <si>
    <t>Validamos el rendimiento dentro de los SLAs definidos antes de aprobar cada cambio.</t>
  </si>
  <si>
    <t>CCN-2-req-11</t>
  </si>
  <si>
    <t>Realizamos pruebas de carga y rendimiento (load, stress, soak y spike testing) para cambios en sistemas críticos.</t>
  </si>
  <si>
    <t>CCN-2-req-12</t>
  </si>
  <si>
    <t>Mantenemos registro de las pruebas realizadas como evidencia de cada cambio.</t>
  </si>
  <si>
    <t>CCN-3</t>
  </si>
  <si>
    <t>Revertir Cambios</t>
  </si>
  <si>
    <t>CCN-3-req-1</t>
  </si>
  <si>
    <t>Exigimos un plan de rollback documentado y probado como requisito obligatorio en toda solicitud de cambio.</t>
  </si>
  <si>
    <t>CCN-3-req-2</t>
  </si>
  <si>
    <t>Documentamos paso a paso los procedimientos de reversión para cada cambio.</t>
  </si>
  <si>
    <t>CCN-3-req-3</t>
  </si>
  <si>
    <t>Definimos los criterios de activación del rollback: tiempos máximos de degradación, tasas de error y alertas de monitoreo.</t>
  </si>
  <si>
    <t>CCN-3-req-4</t>
  </si>
  <si>
    <t>Asignamos responsables del proceso de reversión en cada cambio.</t>
  </si>
  <si>
    <t>CCN-3-req-5</t>
  </si>
  <si>
    <t>Promovemos el uso de estrategias de despliegue blue/green o canary para cambios en servicios críticos.</t>
  </si>
  <si>
    <t>CCN-3-req-6</t>
  </si>
  <si>
    <t>Garantizamos reversión inmediata sin impacto en los usuarios mediante las estrategias de despliegue seguro.</t>
  </si>
  <si>
    <t>CCN-3-req-7</t>
  </si>
  <si>
    <t>Registramos en el sistema de gestión de cambios todos los cambios revertidos con su incidente, tiempo de afectación y causa del rollback.</t>
  </si>
  <si>
    <t>CCN-3-req-8</t>
  </si>
  <si>
    <t>Realizamos análisis post-mortem obligatorio para todo cambio revertido en sistemas críticos.</t>
  </si>
  <si>
    <t>CCN-3-req-9</t>
  </si>
  <si>
    <t>Identificamos la causa raíz del fallo y generamos acciones correctivas en cada post-mortem.</t>
  </si>
  <si>
    <t>CCN-3-req-10</t>
  </si>
  <si>
    <t>Revisamos los post-mortems en el Comité Asesor de Cambios (CAB) e incorporamos las lecciones aprendidas al proceso de gestión de cambios.</t>
  </si>
  <si>
    <t>CIF</t>
  </si>
  <si>
    <t>Ciberseguridad en Infraestructura</t>
  </si>
  <si>
    <t>CIF-1</t>
  </si>
  <si>
    <t>Proveedores de Servicio de Nube</t>
  </si>
  <si>
    <t>CIF-1-req-1</t>
  </si>
  <si>
    <t>Definimos criterios formales de selección para Cloud Service Provider (CSP).</t>
  </si>
  <si>
    <t>CIF-1-req-2</t>
  </si>
  <si>
    <t>Verificamos las certificaciones de seguridad vigentes de cada Cloud Service Provider (CSP).</t>
  </si>
  <si>
    <t>CIF-1-req-3</t>
  </si>
  <si>
    <t>Evaluamos el modelo de responsabilidad compartida según el tipo de servicio (IaaS, PaaS, SaaS, entre otros...).</t>
  </si>
  <si>
    <t>CIF-1-req-4</t>
  </si>
  <si>
    <t>Incluimos en los contratos con Cloud Service Provider (CSP) SLAs de disponibilidad mínima acorde a la criticidad del servicio.</t>
  </si>
  <si>
    <t>CIF-1-req-5</t>
  </si>
  <si>
    <t>Mantenemos una estrategia documentada de multi-cloud o híbrida para servicios de alta criticidad y la revisamos anualmente.</t>
  </si>
  <si>
    <t>CIF-1-req-6</t>
  </si>
  <si>
    <t>Establecemos los procesos de contratación, uso, administración y cierre de servicios en la nube conforme a los requisitos de seguridad de la información de la organización.</t>
  </si>
  <si>
    <t>CIF-1-req-7</t>
  </si>
  <si>
    <t>Evaluamos periódicamente el riesgo de concentración en un único proveedor (vendor lock-in).</t>
  </si>
  <si>
    <t>CIF-2</t>
  </si>
  <si>
    <t>Inventario de Activos</t>
  </si>
  <si>
    <t>CIF-2-req-1</t>
  </si>
  <si>
    <t>Mantenemos actualizado el inventario de activos relacionados con la información mediante revisiones periódicas.</t>
  </si>
  <si>
    <t>CIF-2-req-2</t>
  </si>
  <si>
    <t>Mantenemos un inventario automatizado y completo de todos los recursos desplegados en entornos cloud.</t>
  </si>
  <si>
    <t>CIF-2-req-3</t>
  </si>
  <si>
    <t>Identificamos y registramos formalmente el responsable de cada activo incluido en el inventario como atributo obligatorio.</t>
  </si>
  <si>
    <t>CIF-2-req-4</t>
  </si>
  <si>
    <t>Definimos y aplicamos una política de etiquetado obligatorio (tagging) para todos los recursos cloud.</t>
  </si>
  <si>
    <t>CIF-2-req-5</t>
  </si>
  <si>
    <t>Establecemos la Infrastructure as Code (IaC) como fuente de verdad del inventario.</t>
  </si>
  <si>
    <t>CIF-2-req-6</t>
  </si>
  <si>
    <t>Registramos como atributos mínimos de etiquetado: entorno, propietario, centro de costos, aplicación, clasificación de datos y criticidad.</t>
  </si>
  <si>
    <t>CIF-2-req-7</t>
  </si>
  <si>
    <t>Aplicamos y verificamos las políticas de etiquetado automáticamente mediante políticas nativas del Cloud Service Provider (CSP).</t>
  </si>
  <si>
    <t>CIF-2-req-8</t>
  </si>
  <si>
    <t>Detectamos automáticamente los recursos cloud huérfanos que representan superficie de ataque innecesaria y costos evitables.</t>
  </si>
  <si>
    <t>CIF-2-req-9</t>
  </si>
  <si>
    <t>Eliminamos los recursos huérfanos no reclamados en el plazo definido.</t>
  </si>
  <si>
    <t>CIF-2-req-10</t>
  </si>
  <si>
    <t>Gestionamos los costos cloud por etiqueta con alertas de presupuesto definidas.</t>
  </si>
  <si>
    <t>CIF-2-req-11</t>
  </si>
  <si>
    <t>Validamos la reconciliación continua del inventario entre el estado real y el registrado.</t>
  </si>
  <si>
    <t>CIF-2-req-12</t>
  </si>
  <si>
    <t>Notificamos al propietario los recursos sin etiquetado completo y exigimos su corrección en un plazo máximo definido por la organización.</t>
  </si>
  <si>
    <t>CIF-2-req-13</t>
  </si>
  <si>
    <t>Tratamos cualquier desviación entre el estado real y el IaC como una anomalía.</t>
  </si>
  <si>
    <t>CIF-3</t>
  </si>
  <si>
    <t>Ciberseguridad en la Red y Sistemas</t>
  </si>
  <si>
    <t>CIF-3-req-1</t>
  </si>
  <si>
    <t>Implementamos segmentación de red en entornos cloud con subnets diferenciadas por función: DMZ, aplicación, datos y gestión.</t>
  </si>
  <si>
    <t>CIF-3-req-2</t>
  </si>
  <si>
    <t>Aplicamos el principio default-deny en todos los controles de tráfico: security groups, NACLs y network policies.</t>
  </si>
  <si>
    <t>CIF-3-req-3</t>
  </si>
  <si>
    <t>Ubicamos los recursos críticos en subnets privadas sin acceso directo a internet.</t>
  </si>
  <si>
    <t>CIF-3-req-4</t>
  </si>
  <si>
    <t>Definimos y usamos perímetros de seguridad física para proteger las áreas donde se encuentre información y activos relacionados.</t>
  </si>
  <si>
    <t>CIF-3-req-5</t>
  </si>
  <si>
    <t>Diseñamos y aplicamos medidas de seguridad física para oficinas, despachos y otros espacios de trabajo.</t>
  </si>
  <si>
    <t>CIF-3-req-6</t>
  </si>
  <si>
    <t>Diseñamos y aplicamos procedimientos para trabajar de forma segura dentro de las áreas protegidas.</t>
  </si>
  <si>
    <t>CIF-3-req-7</t>
  </si>
  <si>
    <t>Ubicamos los equipos en lugares seguros y protegidos para reducir riesgos físicos.</t>
  </si>
  <si>
    <t>CIF-3-req-8</t>
  </si>
  <si>
    <t>Protegemos los activos de la organización cuando se encuentren fuera de sus instalaciones.</t>
  </si>
  <si>
    <t>CIF-3-req-9</t>
  </si>
  <si>
    <t>Nos aseguramos de que los equipos reciban el mantenimiento adecuado para garantizar la disponibilidad, integridad y confidencialidad de la información.</t>
  </si>
  <si>
    <t>CIF-3-req-10</t>
  </si>
  <si>
    <t>Definimos y documentamos las configuraciones de seguridad del hardware, software, servicios y redes de la organización.</t>
  </si>
  <si>
    <t>CIF-3-req-11</t>
  </si>
  <si>
    <t>Limitamos y supervisamos de forma rigurosa el uso de programas o herramientas que puedan saltarse o anular los controles de seguridad del sistema.</t>
  </si>
  <si>
    <t>CIF-3-req-12</t>
  </si>
  <si>
    <t>Aplicamos procedimientos y medidas para gestionar de forma segura la instalación de software en los sistemas que están en producción.</t>
  </si>
  <si>
    <t>CIF-3-req-13</t>
  </si>
  <si>
    <t>Identificamos los mecanismos de seguridad, los niveles de servicio y los requisitos de todos los servicios de red disponibles.</t>
  </si>
  <si>
    <t>CIF-3-req-14</t>
  </si>
  <si>
    <t>Restringimos los accesos a los entornos productivos aplicando el principio de mínimo privilegio y la política de máxima restricción posible.</t>
  </si>
  <si>
    <t>CIF-3-req-15</t>
  </si>
  <si>
    <t>Diagramamos los componentes y la topología de red de la infraestructura y mantenemos los diagramas actualizados ante cualquier cambio.</t>
  </si>
  <si>
    <t>CIF-3-req-16</t>
  </si>
  <si>
    <t>Implementamos WAF para la protección de todas las aplicaciones web expuestas a internet.</t>
  </si>
  <si>
    <t>CIF-3-req-17</t>
  </si>
  <si>
    <t>Implementamos protección DDoS en todos los recursos expuestos a internet.</t>
  </si>
  <si>
    <t>CIF-3-req-18</t>
  </si>
  <si>
    <t>Aplicamos hardening de sistemas y VMs basado en las referencias de industria mediante gestión de configuración centralizada.</t>
  </si>
  <si>
    <t>CIF-3-req-19</t>
  </si>
  <si>
    <t>Restringimos el acceso administrativo remoto exclusivamente a través de bastion hosts o servicios equivalentes con MFA obligatorio.</t>
  </si>
  <si>
    <t>CIF-3-req-20</t>
  </si>
  <si>
    <t>Aplicamos network policies en entornos Kubernetes para controlar el tráfico entre pods y servicios.</t>
  </si>
  <si>
    <t>CIF-3-req-21</t>
  </si>
  <si>
    <t>Habilitamos y centralizamos los flow logs de VPC/VNet en el SIEM para la detección de tráfico anómalo.</t>
  </si>
  <si>
    <t>CIF-3-req-22</t>
  </si>
  <si>
    <t>Protegemos las áreas seguras con controles de entrada y puntos de acceso adecuados que impidan el acceso no autorizado.</t>
  </si>
  <si>
    <t>CIF-3-req-23</t>
  </si>
  <si>
    <t>Diseñamos e implementamos protecciones para las infraestructuras frente a amenazas físicas y ambientales como desastres naturales u otros eventos inesperados.</t>
  </si>
  <si>
    <t>CIF-3-req-24</t>
  </si>
  <si>
    <t>Protegemos las instalaciones de procesamiento de información contra cortes de energía y otras interrupciones causadas por fallos en los suministros básicos.</t>
  </si>
  <si>
    <t>CIF-3-req-25</t>
  </si>
  <si>
    <t>Protegemos el cableado eléctrico y de telecomunicaciones que transmite datos frente a interceptaciones, interferencias o daños.</t>
  </si>
  <si>
    <t>CIF-3-req-26</t>
  </si>
  <si>
    <t>Sincronizamos los relojes de todos los sistemas de procesamiento de información de la organización con fuentes de tiempo confiables y aprobadas.</t>
  </si>
  <si>
    <t>CIF-3-req-27</t>
  </si>
  <si>
    <t>Configuramos cualquier cambio a nivel de nube mediante Privileged Identity Management (PIM), habilitando permisos privilegiados de forma temporal y bajo demanda (Just in Time).</t>
  </si>
  <si>
    <t>CIF-3-req-28</t>
  </si>
  <si>
    <t>Revisamos trimestralmente las reglas de security groups y eliminamos los accesos no necesarios.</t>
  </si>
  <si>
    <t>CIF-3-req-29</t>
  </si>
  <si>
    <t>Grabamos todas las sesiones de acceso administrativo y las mantenemos disponibles para auditoría.</t>
  </si>
  <si>
    <t>CIF-3-req-30</t>
  </si>
  <si>
    <t>Monitorizamos de forma continua las instalaciones para detectar cualquier acceso físico no autorizado.</t>
  </si>
  <si>
    <t>CIF-3-req-31</t>
  </si>
  <si>
    <t>Supervisamos y ajustamos el uso de los recursos tecnológicos teniendo en cuenta las necesidades actuales y futuras de capacidad.</t>
  </si>
  <si>
    <t>CIF-4</t>
  </si>
  <si>
    <t>Cifrado de Información y Datos</t>
  </si>
  <si>
    <t>CIF-4-req-1</t>
  </si>
  <si>
    <t>Definimos normas para el uso correcto de técnicas criptográficas, incluyendo cómo gestionar las claves de cifrado.</t>
  </si>
  <si>
    <t>CIF-4-req-2</t>
  </si>
  <si>
    <t>Aplicamos normas para el uso correcto de técnicas criptográficas, incluyendo cómo gestionar las claves de cifrado.</t>
  </si>
  <si>
    <t>CIF-4-req-3</t>
  </si>
  <si>
    <t>Definimos el nivel de cifrado requerido en función de la clasificación de datos.</t>
  </si>
  <si>
    <t>CIF-4-req-4</t>
  </si>
  <si>
    <t>Habilitamos cifrado en reposo con un algoritmos criptográficos estándar de la industria o ampliamente aceptados por la industria en todos los servicios de almacenamiento cloud.</t>
  </si>
  <si>
    <t>CIF-4-req-5</t>
  </si>
  <si>
    <t>Usamos claves gestionadas por el cliente (CMK - Customer-Managed Keys) almacenadas en KMS (Key Management Service) para datos confidenciales y restringidos.</t>
  </si>
  <si>
    <t>CIF-4-req-6</t>
  </si>
  <si>
    <t>Prohibimos el uso de algoritmos criptográficos considerados débiles u obsoletos según los estándares vigentes de la industria.</t>
  </si>
  <si>
    <t>CIF-4-req-7</t>
  </si>
  <si>
    <t>Exigimos TLS 1.2 como versión mínima en todas las comunicaciones de datos en tránsito, con preferencia por TLS 1.3.</t>
  </si>
  <si>
    <t>CIF-4-req-8</t>
  </si>
  <si>
    <t>Hacemos obligatorio HTTPS en todas los servicios web expuestos.</t>
  </si>
  <si>
    <t>CIF-4-req-9</t>
  </si>
  <si>
    <t>Hacemos obligatorio HTTPS en todas las APIs expuestas.</t>
  </si>
  <si>
    <t>CIF-4-req-10</t>
  </si>
  <si>
    <t>Implementamos mTLS para comunicaciones service-to-service en arquitecturas de microservicios.</t>
  </si>
  <si>
    <t>CIF-4-req-11</t>
  </si>
  <si>
    <t>Implementamos HSTS con preload en todas las aplicaciones web.</t>
  </si>
  <si>
    <t>CIF-4-req-12</t>
  </si>
  <si>
    <t>Prohibimos el uso de protocolos inseguros: HTTP, FTP, Telnet y SNMPv1.</t>
  </si>
  <si>
    <t>CIF-4-req-13</t>
  </si>
  <si>
    <t>Verificamos periódicamente el cumplimiento del cifrado mediante scans de configuración y análisis SSL/TLS.</t>
  </si>
  <si>
    <t>CIF-5</t>
  </si>
  <si>
    <t>Administración y Gestión de Claves</t>
  </si>
  <si>
    <t>CIF-5-req-1</t>
  </si>
  <si>
    <t>Gestionamos el ciclo de vida completo de las claves criptográficas mediante servicios KMS gestionados.</t>
  </si>
  <si>
    <t>CIF-5-req-2</t>
  </si>
  <si>
    <t>Definimos e implementamos una jerarquía de claves criptográficas con Master Keys, Data Keys y API keys.</t>
  </si>
  <si>
    <t>CIF-5-req-3</t>
  </si>
  <si>
    <t>Segregamos el almacenamiento de claves por ambiente (producción, staging, desarrollo) con propietario definido para cada conjunto.</t>
  </si>
  <si>
    <t>CIF-5-req-4</t>
  </si>
  <si>
    <t>Seguimos un procedimiento documentado de destrucción segura al finalizar el ciclo de vida de cada clave.</t>
  </si>
  <si>
    <t>CIF-5-req-5</t>
  </si>
  <si>
    <t>Almacenamos las Master Keys en HSM con rotación con frecuencia programada.</t>
  </si>
  <si>
    <t>CIF-5-req-6</t>
  </si>
  <si>
    <t>Generamos las Data Keys mediante envelope encryption con rotación con frecuencia programada.</t>
  </si>
  <si>
    <t>CIF-5-req-7</t>
  </si>
  <si>
    <t>Rotamos las API keys con frecuencia programada.</t>
  </si>
  <si>
    <t>CIF-5-req-8</t>
  </si>
  <si>
    <t>Generamos las claves criptográficas con generadores de números aleatorios criptográficamente seguros (CSPRNG).</t>
  </si>
  <si>
    <t>CIF-5-req-9</t>
  </si>
  <si>
    <t>Distribuimos las claves únicamente mediante canales seguros y cifrados.</t>
  </si>
  <si>
    <t>CIF-5-req-10</t>
  </si>
  <si>
    <t>Implementamos técnicamente la separación de funciones entre el administrador y el usuario de claves.</t>
  </si>
  <si>
    <t>CIF-5-req-11</t>
  </si>
  <si>
    <t>Registramos en logs de auditoría todas las operaciones criptográficas.</t>
  </si>
  <si>
    <t>CIP</t>
  </si>
  <si>
    <t>Ciberseguridad en Identidad y Puntos Finales</t>
  </si>
  <si>
    <t>CIP-1</t>
  </si>
  <si>
    <t>Inventario de Identidad</t>
  </si>
  <si>
    <t>CIP-1-req-1</t>
  </si>
  <si>
    <t>Mantenemos un registro completo y actualizado de todas las identidades —humanas— que tienen acceso a recursos organizacionales.</t>
  </si>
  <si>
    <t>CIP-1-req-2</t>
  </si>
  <si>
    <t>Mantenemos un registro completo y actualizado de todas las identidades —no humanas— que tienen acceso a recursos organizacionales.</t>
  </si>
  <si>
    <t>CIP-1-req-3</t>
  </si>
  <si>
    <t>Definimos los atributos mínimos del inventario de identidades: ID único, tipo, estado, propietario, última actividad y fecha de revisión.</t>
  </si>
  <si>
    <t>CIP-1-req-4</t>
  </si>
  <si>
    <t>Definimos los mecanismos de gestión del ciclo de vida de las identidades: onboarding.</t>
  </si>
  <si>
    <t>CIP-1-req-5</t>
  </si>
  <si>
    <t>Definimos los mecanismos de gestión del ciclo de vida de las identidades: cambios.</t>
  </si>
  <si>
    <t>CIP-1-req-6</t>
  </si>
  <si>
    <t>Definimos los mecanismos de gestión del ciclo de vida de las identidades: offboarding.</t>
  </si>
  <si>
    <t>CIP-1-req-7</t>
  </si>
  <si>
    <t>Asignamos a cada identidad no humana un propietario humano, un propósito documentado y una fecha de expiración.</t>
  </si>
  <si>
    <t>CIP-1-req-8</t>
  </si>
  <si>
    <t>Integramos el inventario de identidades con el proveedor de identidad centralizado (IdP).</t>
  </si>
  <si>
    <t>CIP-1-req-9</t>
  </si>
  <si>
    <t>Integramos el inventario de identidades con el sistema de RRHH (HRIS - Human Resources Information System).</t>
  </si>
  <si>
    <t>CIP-1-req-10</t>
  </si>
  <si>
    <t>Gestionamos un IdP 100% en nube en modelos responsabilidad compartida SaaS, como por ejemplo: EntraID.</t>
  </si>
  <si>
    <t>CIP-1-req-11</t>
  </si>
  <si>
    <t>Reconciliamos automáticamente el inventario IdP con una frecuencia programada.</t>
  </si>
  <si>
    <t>CIP-1-req-12</t>
  </si>
  <si>
    <t>Identificamos y desactivamos las identidades no humanas sin propietario activo o sin uso en un período definido por la organización.</t>
  </si>
  <si>
    <t>CIP-2</t>
  </si>
  <si>
    <t>Ciberseguridad en Autenticación</t>
  </si>
  <si>
    <t>CIP-2-req-1</t>
  </si>
  <si>
    <t>Tenemos una política de control de acceso establecida en la compañía.</t>
  </si>
  <si>
    <t>CIP-2-req-2</t>
  </si>
  <si>
    <t>Orientamos a los colaboradores sobre manejar correctamente la identidades y promovemos el uso de gestores de contraseñas.</t>
  </si>
  <si>
    <t>CIP-2-req-3</t>
  </si>
  <si>
    <t>Controlamos la asignación de credenciales de acceso mediante un proceso formal y estructurado.</t>
  </si>
  <si>
    <t>CIP-2-req-4</t>
  </si>
  <si>
    <t>Exigimos aprobación formal del responsable de ciberseguridad y controles compensatorios documentados para cualquier exención del MFA.</t>
  </si>
  <si>
    <t>CIP-2-req-5</t>
  </si>
  <si>
    <t>Implementamos MFA obligatorio en todos los accesos administrativos, remotos y a sistemas y datos críticos o confidenciales.</t>
  </si>
  <si>
    <t>CIP-2-req-6</t>
  </si>
  <si>
    <t>Soportamos múltiples factores de segunda verificación acorde al riesgo del acceso.</t>
  </si>
  <si>
    <t>CIP-2-req-7</t>
  </si>
  <si>
    <t>Implementamos Single Sign On SSO corporativo basado en protocolos estándar (SAML 2.0, OAuth 2.0, OIDC) para centralizar la autenticación.</t>
  </si>
  <si>
    <t>CIP-2-req-8</t>
  </si>
  <si>
    <t>Aplicamos políticas de contraseñas con criterios de seguridad.</t>
  </si>
  <si>
    <t>CIP-2-req-9</t>
  </si>
  <si>
    <t>Promovemos la autenticación sin contraseña (FIDO2, Windows Hello) como evolución hacia arquitecturas más seguras.</t>
  </si>
  <si>
    <t>CIP-2-req-10</t>
  </si>
  <si>
    <t>Usamos managed identities o service principals con permisos mínimos para la autenticación entre servicios y aplicaciones.</t>
  </si>
  <si>
    <t>CIP-2-req-11</t>
  </si>
  <si>
    <t>Rotamos automáticamente las API keys y tokens de servicio según la periodicidad establecida.</t>
  </si>
  <si>
    <t>CIP-2-req-12</t>
  </si>
  <si>
    <t>Aceptamos software de tercero que permita el aprovisionamiento y desaprovisionamiento automatico (SCIM)</t>
  </si>
  <si>
    <t>CIP-2-req-13</t>
  </si>
  <si>
    <t>Monitoreamos continuamente las credenciales comprometidas y las revocamos de inmediato al ser detectadas.</t>
  </si>
  <si>
    <t>CIP-3</t>
  </si>
  <si>
    <t>Ciberseguridad en Autorización</t>
  </si>
  <si>
    <t>CIP-3-req-1</t>
  </si>
  <si>
    <t>Implementamos el principio de mínimo privilegio en todos los controles de acceso.</t>
  </si>
  <si>
    <t>CIP-3-req-2</t>
  </si>
  <si>
    <t>Establecemos y aplicamos reglas de control de acceso físico a instalaciones, salas de servidores y activos relacionados, basadas en las necesidades del negocio y de seguridad.</t>
  </si>
  <si>
    <t>CIP-3-req-3</t>
  </si>
  <si>
    <t>Restringimos el acceso físico y digital a la información y activos relacionados según las políticas de control de acceso definidas, aplicando el principio de mínimo privilegio.</t>
  </si>
  <si>
    <t>CIP-3-req-4</t>
  </si>
  <si>
    <t>Implementamos un modelo de control de acceso basado en roles (RBAC) donde los permisos se asignan según la función de cada usuario.</t>
  </si>
  <si>
    <t>CIP-3-req-5</t>
  </si>
  <si>
    <t>Implementamos políticas de control de acceso basadas en atributos (ABAC) para decisiones dinámicas y contextuales.</t>
  </si>
  <si>
    <t>CIP-3-req-6</t>
  </si>
  <si>
    <t>Implementamos políticas centralizadas de control de acceso (PBAC) evaluadas en tiempo real.</t>
  </si>
  <si>
    <t>CIP-3-req-7</t>
  </si>
  <si>
    <t>Implementamos acceso Just-in-Time (JIT) para privilegios elevados, con duración limitada y aprobación mediante workflow.</t>
  </si>
  <si>
    <t>CIP-3-req-8</t>
  </si>
  <si>
    <t>Realizamos revisiones en periodos frecuentes de permisos por propietario del sistema y responsable del área.</t>
  </si>
  <si>
    <t>CIP-3-req-9</t>
  </si>
  <si>
    <t>Revocamos los accesos que ya no son necesarios durante las revisiones de permisos.</t>
  </si>
  <si>
    <t>CIP-3-req-10</t>
  </si>
  <si>
    <t>Detectamos automáticamente los conflictos de segregación de funciones.</t>
  </si>
  <si>
    <t>CIP-3-req-11</t>
  </si>
  <si>
    <t>Grabamos y mantenemos disponibles para revisión forense y auditoría todas las sesiones privilegiadas.</t>
  </si>
  <si>
    <t>CIP-4</t>
  </si>
  <si>
    <t>Aprovisionamiento, Cambios y Desaprovisionamiento de Identidades</t>
  </si>
  <si>
    <t>CIP-4-req-1</t>
  </si>
  <si>
    <t>Automatizamos el ciclo de vida completo de identidades siguiendo el modelo Joiner-Mover-Leaver.</t>
  </si>
  <si>
    <t>CIP-4-req-2</t>
  </si>
  <si>
    <t>Garantizamos que el nuevo colaborador disponga de todos sus accesos en un plazo máximo definido por la organización desde el inicio de actividades.</t>
  </si>
  <si>
    <t>CIP-4-req-3</t>
  </si>
  <si>
    <t>Completamos el desaprovisionamiento en un plazo máximo definido por la organización desde la notificación de RRHH.</t>
  </si>
  <si>
    <t>CIP-4-req-4</t>
  </si>
  <si>
    <t>Disparamos el aprovisionamiento de accesos automáticamente desde el HRIS al momento de la contratación.</t>
  </si>
  <si>
    <t>CIP-4-req-5</t>
  </si>
  <si>
    <t>Asignamos cuentas, licencias de software y accesos según plantillas de rol predefinidas y aprobadas.</t>
  </si>
  <si>
    <t>CIP-4-req-6</t>
  </si>
  <si>
    <t>Registramos cada acceso otorgado en el sistema de gestión de identidades con trazabilidad del proceso de aprobación.</t>
  </si>
  <si>
    <t>CIP-4-req-7</t>
  </si>
  <si>
    <t>Revocamos los accesos del rol anterior y asignamos los nuevos automáticamente ante cambios de cargo o área.</t>
  </si>
  <si>
    <t>CIP-4-req-8</t>
  </si>
  <si>
    <t>Desactivamos la cuenta, revocamos todos los accesos y cerramos forzosamente las sesiones activas ante la terminación de la relación laboral.</t>
  </si>
  <si>
    <t>CIP-4-req-9</t>
  </si>
  <si>
    <t>Validamos la ausencia de conflictos de segregación de funciones en cada cambio de rol.</t>
  </si>
  <si>
    <t>CIP-4-req-10</t>
  </si>
  <si>
    <t>Auditamos con frecuencia programada el proceso de aprovisionamiento.</t>
  </si>
  <si>
    <t>CIP-4-req-11</t>
  </si>
  <si>
    <t>Auditamos con frecuencia programada el proceso de desaprovisionamiento.</t>
  </si>
  <si>
    <t>CIP-5</t>
  </si>
  <si>
    <t>Inventario de Puntos Finales</t>
  </si>
  <si>
    <t>CIP-5-req-1</t>
  </si>
  <si>
    <t>Mantenemos un inventario completo y actualizado de todos los dispositivos endpoint que acceden a la red corporativa o a recursos organizacionales.</t>
  </si>
  <si>
    <t>CIP-5-req-2</t>
  </si>
  <si>
    <t>Registramos para cada dispositivo: hostname, dirección MAC, número de serie, sistema operativo, usuario asignado, estado del agente EDR, estado de cifrado y estado de compliance.</t>
  </si>
  <si>
    <t>CIP-5-req-3</t>
  </si>
  <si>
    <t>Gestionamos el ciclo de vida de los dispositivos desde su adquisición hasta su retiro.</t>
  </si>
  <si>
    <t>CIP-5-req-4</t>
  </si>
  <si>
    <t>Automatizamos el descubrimiento de dispositivos mediante agentes MDM/UEM y escaneos de red.</t>
  </si>
  <si>
    <t>CIP-5-req-5</t>
  </si>
  <si>
    <t>Detectamos los dispositivos no autorizados que intentan conectarse a la red y los bloqueamos o redirigimos a cuarentena.</t>
  </si>
  <si>
    <t>CIP-5-req-6</t>
  </si>
  <si>
    <t>Aplicamos borrado certificado de datos antes de la disposición final de cada dispositivo o en reasignación.</t>
  </si>
  <si>
    <t>CIP-5-req-7</t>
  </si>
  <si>
    <t>Reconciliamos el inventario físico con el lógico con una frecuencia programada.</t>
  </si>
  <si>
    <t>CIP-6</t>
  </si>
  <si>
    <t>Ciberseguridad en Puntos Finales</t>
  </si>
  <si>
    <t>CIP-6-req-1</t>
  </si>
  <si>
    <t>Desplegamos soluciones EDR/XDR en el 100% de los dispositivos endpoint corporativos con análisis de comportamiento avanzado.</t>
  </si>
  <si>
    <t>CIP-6-req-2</t>
  </si>
  <si>
    <t>Gestionamos las excepciones a los controles de endpoint mediante un proceso formal de aprobación con fecha de expiración.</t>
  </si>
  <si>
    <t>CIP-6-req-3</t>
  </si>
  <si>
    <t>Integramos las soluciones EDR/XDR con el SIEM/SOC para la correlación de alertas y la respuesta coordinada a incidentes.</t>
  </si>
  <si>
    <t>CIP-6-req-4</t>
  </si>
  <si>
    <t>Actualizamos automáticamente las firmas y motores de detección de las soluciones EDR/XDR.</t>
  </si>
  <si>
    <t>CIP-6-req-5</t>
  </si>
  <si>
    <t>Aplicamos hardening de sistema operativo basado en CIS Benchmarks para Windows, macOS y Linux mediante gestión de configuración centralizada.</t>
  </si>
  <si>
    <t>CIP-6-req-6</t>
  </si>
  <si>
    <t>Habilitamos el cifrado completo de disco en todos los dispositivos con gestión centralizada de recovery keys.</t>
  </si>
  <si>
    <t>CIP-6-req-7</t>
  </si>
  <si>
    <t>Automatizamos la gestión de parches con SLAs definidos.</t>
  </si>
  <si>
    <t>CIP-6-req-8</t>
  </si>
  <si>
    <t>Implementamos control de aplicaciones mediante whitelisting para que solo se ejecuten aplicaciones aprobadas.</t>
  </si>
  <si>
    <t>CIP-6-req-9</t>
  </si>
  <si>
    <t>Restringimos el uso de dispositivos de almacenamiento USB no autorizados en todos los endpoints.</t>
  </si>
  <si>
    <t>CIP-6-req-10</t>
  </si>
  <si>
    <t>Implementamos controles de prevención de pérdida de datos (DLP) en endpoints para detectar y bloquear la exfiltración de datos sensibles.</t>
  </si>
  <si>
    <t>CIP-6-req-11</t>
  </si>
  <si>
    <t>Ubicamos los endpoints geográficamente en caso de ser necesario.</t>
  </si>
  <si>
    <t>CIP-6-req-12</t>
  </si>
  <si>
    <t>Borramos remotamente sin posibilidad de recuperación de información almacenada en el endpoint.</t>
  </si>
  <si>
    <t>CIP-6-req-13</t>
  </si>
  <si>
    <t>Identificamos y notificamos automáticamente los dispositivos en estado de non-compliance.</t>
  </si>
  <si>
    <t>COR</t>
  </si>
  <si>
    <t>Coherencia Organizacional</t>
  </si>
  <si>
    <t>COR-1</t>
  </si>
  <si>
    <t>Programa de Gestión de Riesgos y Ciberseguridad</t>
  </si>
  <si>
    <t>COR-1-req-1</t>
  </si>
  <si>
    <t>Creamos el Sistema de Gestión de Seguridad de la Información (SGSI).</t>
  </si>
  <si>
    <t>COR-1-req-2</t>
  </si>
  <si>
    <t>Definimos el alcance del SGSI considerando el contexto, los stakeholders y su conexión con otras organizaciones.</t>
  </si>
  <si>
    <t>COR-1-req-3</t>
  </si>
  <si>
    <t>Identificamos los factores del entorno interno, externo y de terceras partes que pueden afectar el SGSI y el logro de sus metas.</t>
  </si>
  <si>
    <t>COR-1-req-4</t>
  </si>
  <si>
    <t>Identificamos los stakeholders del SGSI.</t>
  </si>
  <si>
    <t>COR-1-req-5</t>
  </si>
  <si>
    <t>Identificamos las necesidades y expectativas de los stakeholders del SGSI.</t>
  </si>
  <si>
    <t>COR-1-req-6</t>
  </si>
  <si>
    <t>Determinamos cuáles necesidades y expectativas de los stakeholders serán atendidas por el SGSI.</t>
  </si>
  <si>
    <t>COR-1-req-7</t>
  </si>
  <si>
    <t>Designamos un responsable de Ciberseguridad en la compañía.</t>
  </si>
  <si>
    <t>COR-1-req-8</t>
  </si>
  <si>
    <t>Definimos los roles y responsabilidades o la matriz RACI del SGSI.</t>
  </si>
  <si>
    <t>COR-1-req-9</t>
  </si>
  <si>
    <t>Garantizamos que el SGSI cuente con los recursos necesarios para su funcionamiento.</t>
  </si>
  <si>
    <t>COR-1-req-10</t>
  </si>
  <si>
    <t>Creamos una política de seguridad de la información que se ajuste a lo que hace y necesita la organización.</t>
  </si>
  <si>
    <t>COR-1-req-11</t>
  </si>
  <si>
    <t>Creamos una política de seguridad de la información que incluye objetivos claros de seguridad o que sirve como guía para definirlos.</t>
  </si>
  <si>
    <t>COR-1-req-12</t>
  </si>
  <si>
    <t>Creamos una política de seguridad de la información que incluye el compromiso de cumplir con todas las reglas, requisitos y stakeholders que defina la organización.</t>
  </si>
  <si>
    <t>COR-1-req-13</t>
  </si>
  <si>
    <t>Creamos una política de seguridad de la información que incluye el compromiso de mejorar constantemente el sistema de gestión.</t>
  </si>
  <si>
    <t>COR-1-req-14</t>
  </si>
  <si>
    <t>Creamos y mejoramos continuamente los documentos sobre las políticas de la compañía.</t>
  </si>
  <si>
    <t>COR-1-req-15</t>
  </si>
  <si>
    <t>Creamos y mejoramos continuamente los documentos sobre los procesos de la compañía.</t>
  </si>
  <si>
    <t>COR-1-req-16</t>
  </si>
  <si>
    <t>Creamos y mejoramos continuamente los documentos sobre los procedimientos de la compañía.</t>
  </si>
  <si>
    <t>COR-1-req-17</t>
  </si>
  <si>
    <t>Documentamos los dominios, controles y requisitos del SGSI.</t>
  </si>
  <si>
    <t>COR-1-req-18</t>
  </si>
  <si>
    <t>Aprobamos, comunicamos y versionamos los documentos del SGSI.</t>
  </si>
  <si>
    <t>COR-1-req-19</t>
  </si>
  <si>
    <t>Garantizamos que los interesados reconozcan y conozcan los documentos del SGSI.</t>
  </si>
  <si>
    <t>COR-1-req-20</t>
  </si>
  <si>
    <t>Integramos los requisitos del SGSI a los procesos de la organización.</t>
  </si>
  <si>
    <t>COR-1-req-21</t>
  </si>
  <si>
    <t>Establecemos un procedimiento para la gestión y recolección centralizada de evidencias para los requisitos y controles de Ciberseguridad, garantizando su disponibilidad para los stakeholders.</t>
  </si>
  <si>
    <t>COR-1-req-22</t>
  </si>
  <si>
    <t>Implementamos una metodología para la gestión de los riesgos.</t>
  </si>
  <si>
    <t>COR-1-req-23</t>
  </si>
  <si>
    <t>Declaramos el apetito de riesgos de la organización.</t>
  </si>
  <si>
    <t>COR-1-req-24</t>
  </si>
  <si>
    <t>Declaramos la tolerancia de riesgos de la organización.</t>
  </si>
  <si>
    <t>COR-1-req-25</t>
  </si>
  <si>
    <t>Incorporamos en la metodología de riesgos criterios de valoración de activos, amenazas y vulnerabilidades.</t>
  </si>
  <si>
    <t>COR-1-req-26</t>
  </si>
  <si>
    <t>Asignamos a cada riesgo un propietario, un nivel de riesgo residual y un plan de tratamiento.</t>
  </si>
  <si>
    <t>COR-1-req-27</t>
  </si>
  <si>
    <t>Formulamos un roadmap de ciberseguridad.</t>
  </si>
  <si>
    <t>COR-1-req-28</t>
  </si>
  <si>
    <t>Priorizamos las iniciativas de ciberseguridad con responsables y fechas de implementación.</t>
  </si>
  <si>
    <t>COR-1-req-29</t>
  </si>
  <si>
    <t>Alineamos las iniciativas de ciberseguridad a los objetivos del negocio.</t>
  </si>
  <si>
    <t>COR-1-req-30</t>
  </si>
  <si>
    <t>Registramos los riesgos identificados en un repositorio centralizado.</t>
  </si>
  <si>
    <t>COR-1-req-31</t>
  </si>
  <si>
    <t>Revisamos anualmente la estructura de gobierno y la sometemos a aprobación de la alta dirección.</t>
  </si>
  <si>
    <t>COR-1-req-32</t>
  </si>
  <si>
    <t>Realizamos comités de seguridad o reportes con una frecuencia programada a la alta dirección.</t>
  </si>
  <si>
    <t>COR-1-req-33</t>
  </si>
  <si>
    <t>Incluimos en los reportes y revisiones gerenciales el estado de riesgos críticos, el avance del roadmap, los indicadores de incidentes, el cumplimiento regulatorio, el desempeño de controles, las tendencias en incumplimientos, los resultados de mediciones y auditorías, el cumplimiento de objetivos, los resultados de la evaluación de riesgos, el avance del plan de tratamiento de riesgos y el avance de mejoras.</t>
  </si>
  <si>
    <t>COR-1-req-34</t>
  </si>
  <si>
    <t>Definimos y hacemos seguimiento a los OKRs de seguridad de la información y ciberseguridad.</t>
  </si>
  <si>
    <t>COR-1-req-35</t>
  </si>
  <si>
    <t>Definimos y hacemos seguimiento a los KPIs de seguridad de la información y ciberseguridad.</t>
  </si>
  <si>
    <t>COR-1-req-36</t>
  </si>
  <si>
    <t>Mejoramos continuamente el SGSI, revisamos y actualizamos los documentos con una frecuencia programada junto con sus interesados.</t>
  </si>
  <si>
    <t>COR-1-req-37</t>
  </si>
  <si>
    <t>Impulsamos desde el liderazgo la mejora continua del SGSI.</t>
  </si>
  <si>
    <t>COR-2</t>
  </si>
  <si>
    <t>Mapeo de Cumplimiento Regulatorio</t>
  </si>
  <si>
    <t>COR-2-req-1</t>
  </si>
  <si>
    <t>Mapeamos y documentamos en el contexto legal todas las obligaciones aplicables a la organización en los países donde operamos.</t>
  </si>
  <si>
    <t>COR-2-req-2</t>
  </si>
  <si>
    <t>Mapeamos y documentamos en el contexto regulatorio todas las obligaciones aplicables a la organización en los países donde operamos.</t>
  </si>
  <si>
    <t>COR-2-req-3</t>
  </si>
  <si>
    <t>Mapeamos y documentamos en el contexto contractual todas las obligaciones aplicables basadas en los términos y condiciones de nuestros clientes.</t>
  </si>
  <si>
    <t>COR-2-req-4</t>
  </si>
  <si>
    <t>Clasificamos las obligaciones legales, regulatorias y contractuales por jurisdicción y tipo de obligación.</t>
  </si>
  <si>
    <t>COR-2-req-5</t>
  </si>
  <si>
    <t>Asignamos un responsable de cumplimiento por cada regulación identificada en el inventario.</t>
  </si>
  <si>
    <t>COR-2-req-6</t>
  </si>
  <si>
    <t>Definimos la periodicidad de revisión y registramos el estado de cumplimiento actual de cada obligación en el inventario.</t>
  </si>
  <si>
    <t>COR-2-req-7</t>
  </si>
  <si>
    <t>Construimos una matriz de cumplimiento que mapea cada requisito legal, regulatorio y contractual a los controles de ciberseguridad implementados.</t>
  </si>
  <si>
    <t>COR-2-req-8</t>
  </si>
  <si>
    <t>Monitoreamos con frecuencia programada los cambios legales, regulatorios y contracturales; y actualizamos el inventario.</t>
  </si>
  <si>
    <t>COR-2-req-9</t>
  </si>
  <si>
    <t>Identificamos brechas de cumplimiento legal, regulatorio y contractual; y generamos planes de acción para su cierre.</t>
  </si>
  <si>
    <t>COR-3</t>
  </si>
  <si>
    <t>Evaluación Independiente basada en Riesgos</t>
  </si>
  <si>
    <t>COR-3-req-1</t>
  </si>
  <si>
    <t>Definimos un programa de auditorías internas de ciberseguridad con alcance basado en el perfil de riesgo.</t>
  </si>
  <si>
    <t>COR-3-req-2</t>
  </si>
  <si>
    <t>Definimos un programa de auditorías externas de ciberseguridad con alcance basado en el perfil de riesgo.</t>
  </si>
  <si>
    <t>COR-3-req-3</t>
  </si>
  <si>
    <t>Ejecutamos auditorías internas con una frecuencia programada para los sistemas críticos.</t>
  </si>
  <si>
    <t>COR-3-req-4</t>
  </si>
  <si>
    <t>Ejecutamos auditorías externas con una frecuencia programada para los sistemas críticos.</t>
  </si>
  <si>
    <t>COR-3-req-5</t>
  </si>
  <si>
    <t>Planificamos las auditorías definiendo criterios de selección de alcance y procedimientos de evaluación.</t>
  </si>
  <si>
    <t>COR-3-req-6</t>
  </si>
  <si>
    <t>Garantizamos la independencia funcional de los auditores internos respecto a las áreas auditadas.</t>
  </si>
  <si>
    <t>COR-3-req-7</t>
  </si>
  <si>
    <t>Garantizamos la independencia funcional de los auditores externos respecto a la compañía.</t>
  </si>
  <si>
    <t>COR-3-req-8</t>
  </si>
  <si>
    <t>Contratamos periódicamente evaluaciones de ciberseguridad realizadas por terceros independientes y certificados.</t>
  </si>
  <si>
    <t>COR-3-req-9</t>
  </si>
  <si>
    <t>Cubrimos con las evaluaciones externas al menos los sistemas más críticos con una frecuencia programada o ante cambios significativos en el entorno tecnológico.</t>
  </si>
  <si>
    <t>COR-3-req-10</t>
  </si>
  <si>
    <t>Definimos en qué momentos se debe realizar el seguimiento y la medición de la seguridad de la información y ciberseguridad.</t>
  </si>
  <si>
    <t>COR-3-req-11</t>
  </si>
  <si>
    <t>Definimos en qué momentos se deben analizar y evaluar los resultados obtenidos del seguimiento y medición de la seguridad de la información y ciberseguridad.</t>
  </si>
  <si>
    <t>COR-3-req-12</t>
  </si>
  <si>
    <t>Mantenemos activos y actualizados uno o varios programas de auditoría interna.</t>
  </si>
  <si>
    <t>COR-3-req-13</t>
  </si>
  <si>
    <t>Planificamos con cuidado las pruebas de auditoría y otras actividades de evaluación en los sistemas en producción para minimizar el impacto.</t>
  </si>
  <si>
    <t>COR-3-req-14</t>
  </si>
  <si>
    <t>Acordamos previamente con los gestores responsables la realización de pruebas de auditoría y otras actividades de evaluación en los sistemas.</t>
  </si>
  <si>
    <t>COR-3-req-15</t>
  </si>
  <si>
    <t>Incluimos en las evaluaciones externas pruebas de penetración, revisiones de arquitectura y evaluaciones de madurez.</t>
  </si>
  <si>
    <t>COR-3-req-16</t>
  </si>
  <si>
    <t>Reportamos formalmente los hallazgos de auditoría.</t>
  </si>
  <si>
    <t>COR-3-req-17</t>
  </si>
  <si>
    <t>Presentamos los resultados de las evaluaciones externas a la alta dirección.</t>
  </si>
  <si>
    <t>COR-4</t>
  </si>
  <si>
    <t>Mejora Continua y Acciones Correctivas</t>
  </si>
  <si>
    <t>COR-4-req-1</t>
  </si>
  <si>
    <t>Implementamos un proceso formal de gestión de acciones correctivas y preventivas para todos los hallazgos provenientes de auditorías, incidentes y evaluaciones de riesgo, respondiendo de manera inmediata para controlar y corregir cada incumplimiento.</t>
  </si>
  <si>
    <t>COR-4-req-2</t>
  </si>
  <si>
    <t>Definimos un plan de remediación con responsable y fecha para cada acción correctiva identificada.</t>
  </si>
  <si>
    <t>COR-4-req-3</t>
  </si>
  <si>
    <t>Priorizamos las acciones correctivas según el nivel de riesgo asociado.</t>
  </si>
  <si>
    <t>COR-4-req-4</t>
  </si>
  <si>
    <t>Implementamos un ciclo PDCA (Plan-Do-Check-Act) para la gestión sistemática de hallazgos, incidentes y oportunidades de mejora.</t>
  </si>
  <si>
    <t>COR-4-req-5</t>
  </si>
  <si>
    <t>Planificamos acciones para gestionar los riesgos y aprovechar las oportunidades, con el fin de lograr una mejora continua.</t>
  </si>
  <si>
    <t>COR-4-req-6</t>
  </si>
  <si>
    <t>Respondemos ante cualquier incumplimiento gestionando las consecuencias que haya generado.</t>
  </si>
  <si>
    <t>COR-4-req-7</t>
  </si>
  <si>
    <t>Realizamos análisis de causa raíz utilizando una metodología; como por ejemplo: 5 Whys, el diagrama de Ishikawa, entre otros...</t>
  </si>
  <si>
    <t>COR-4-req-8</t>
  </si>
  <si>
    <t>Registramos todas las acciones correctivas y preventivas en el sistema de seguimiento.</t>
  </si>
  <si>
    <t>COR-4-req-9</t>
  </si>
  <si>
    <t>Validamos la efectividad de las soluciones implementadas antes de dar cierre a las acciones correctivas.</t>
  </si>
  <si>
    <t>COR-4-req-10</t>
  </si>
  <si>
    <t>Comunicamos los resultados de las revisiones gerenciales a los stakeholders relevantes.</t>
  </si>
  <si>
    <t>COR-4-req-11</t>
  </si>
  <si>
    <t>Incorporamos los resultados de las revisiones gerenciales al roadmap de ciberseguridad.</t>
  </si>
  <si>
    <t>COR-4-req-12</t>
  </si>
  <si>
    <t>Documentamos las lecciones aprendidas de los hallazgos, incidentes y oportunidades de mejora gestionadas.</t>
  </si>
  <si>
    <t>COR-4-req-13</t>
  </si>
  <si>
    <t>Incluimos en la revisión por parte de la dirección el seguimiento de las acciones que quedaron pendientes de revisiones anteriores.</t>
  </si>
  <si>
    <t>COR-4-req-14</t>
  </si>
  <si>
    <t>Incluimos en la revisión por parte de la dirección los cambios en el entorno externo e interno que puedan afectar al sistema de gestión.</t>
  </si>
  <si>
    <t>COR-4-req-15</t>
  </si>
  <si>
    <t>Incluimos en la revisión por parte de la dirección los cambios en lo que necesitan o esperan las partes interesadas.</t>
  </si>
  <si>
    <t>COR-4-req-16</t>
  </si>
  <si>
    <t>Incluimos en la revisión por parte de la dirección los comentarios y opiniones recibidos de las partes interesadas.</t>
  </si>
  <si>
    <t>COR-4-req-17</t>
  </si>
  <si>
    <t>Incluimos en la revisión por parte de la dirección las posibilidades identificadas para seguir mejorando el sistema de gestión.</t>
  </si>
  <si>
    <t>COR-4-req-18</t>
  </si>
  <si>
    <t>Incluimos en los resultados de la revisión por parte de la dirección las decisiones tomadas sobre cómo mejorar continuamente el sistema de gestión.</t>
  </si>
  <si>
    <t>COR-4-req-19</t>
  </si>
  <si>
    <t>Incluimos en los resultados de la revisión por parte de la dirección cualquier cambio que se considere necesario hacer en el sistema de gestión.</t>
  </si>
  <si>
    <t>COR-4-req-20</t>
  </si>
  <si>
    <t>Revisamos si existen otros incumplimientos parecidos que también requieran acciones correctivas.</t>
  </si>
  <si>
    <t>COR-4-req-21</t>
  </si>
  <si>
    <t>Actualizamos el sistema de gestión cuando sea necesario como resultado de las acciones correctivas aplicadas.</t>
  </si>
  <si>
    <t>DIA</t>
  </si>
  <si>
    <t>Ciberseguridad en Datos e Inteligencia Artificial</t>
  </si>
  <si>
    <t>DIA-1</t>
  </si>
  <si>
    <t>Inventario de Datos</t>
  </si>
  <si>
    <t>DIA-1-req-1</t>
  </si>
  <si>
    <t>Mantenemos un catálogo completo y actualizado de todos los datos que la organización recopila, procesa, almacena y transmite.</t>
  </si>
  <si>
    <t>DIA-1-req-2</t>
  </si>
  <si>
    <t>Clasificamos los datos según su sensibilidad y criticidad en cuatro niveles: público, interno, confidencial y restringido.</t>
  </si>
  <si>
    <t>DIA-1-req-3</t>
  </si>
  <si>
    <t>Registramos para cada tipo de dato: propietario, custodio técnico, sistema de origen, ubicación, regulaciones aplicables y tiempo de retención.</t>
  </si>
  <si>
    <t>DIA-1-req-4</t>
  </si>
  <si>
    <t>Utilizamos las etiquetas de clasificación como base para la aplicación de controles de seguridad diferenciados.</t>
  </si>
  <si>
    <t>DIA-1-req-5</t>
  </si>
  <si>
    <t>Definimos las responsabilidades del propietario de datos (data owner) en cuanto a protección, acceso y retención.</t>
  </si>
  <si>
    <t>DIA-1-req-6</t>
  </si>
  <si>
    <t>Implementamos herramientas de descubrimiento y clasificación automática de datos sensibles en repositorios estructurados y no estructurados.</t>
  </si>
  <si>
    <t>DIA-1-req-7</t>
  </si>
  <si>
    <t>Validamos periódicamente con los propietarios los datos clasificados automáticamente.</t>
  </si>
  <si>
    <t>DIA-1-req-8</t>
  </si>
  <si>
    <t>Actualizamos el catálogo ante nuevos proyectos y lo revisamos integralmente con frecuencia programada.</t>
  </si>
  <si>
    <t>DIA-2</t>
  </si>
  <si>
    <t>Inventario de Puntos de Recolección de Datos</t>
  </si>
  <si>
    <t>DIA-2-req-1</t>
  </si>
  <si>
    <t>Identificamos y documentamos todos los puntos donde la organización recopila datos de usuarios, clientes, colaboradores y terceros.</t>
  </si>
  <si>
    <t>DIA-2-req-2</t>
  </si>
  <si>
    <t>Registramos en el inventario los puntos de recolección: formularios web, APIs, aplicaciones móviles, integraciones con terceros, cookies, rastreadores y sensores IoT.</t>
  </si>
  <si>
    <t>DIA-2-req-3</t>
  </si>
  <si>
    <t>Documentamos para cada punto de recolección: qué datos se obtienen, base legal del tratamiento, finalidad, flujo hacia sistemas de almacenamiento y terceros con acceso.</t>
  </si>
  <si>
    <t>DIA-2-req-4</t>
  </si>
  <si>
    <t>Utilizamos el inventario de puntos de recolección como base para el cumplimiento de regulaciones de privacidad.</t>
  </si>
  <si>
    <t>DIA-2-req-5</t>
  </si>
  <si>
    <t>Gestionamos el consentimiento de los titulares de datos a partir del inventario de puntos de recolección.</t>
  </si>
  <si>
    <t>DIA-2-req-6</t>
  </si>
  <si>
    <t>Mantenemos el mapa de flujos de datos (Data Flow Diagram) actualizado ante cambios en las aplicaciones.</t>
  </si>
  <si>
    <t>DIA-3</t>
  </si>
  <si>
    <t>Ciclo de Vida de los Datos</t>
  </si>
  <si>
    <t>DIA-3-req-1</t>
  </si>
  <si>
    <t>Definimos y gestionamos las etapas del ciclo de vida de los datos: creación, almacenamiento, procesamiento, uso, compartición, archivado y destrucción.</t>
  </si>
  <si>
    <t>DIA-3-req-2</t>
  </si>
  <si>
    <t>Establecemos controles de seguridad y privacidad aplicables en cada etapa del ciclo de vida del dato.</t>
  </si>
  <si>
    <t>DIA-3-req-3</t>
  </si>
  <si>
    <t>Identificamos y capacitamos a los custodios de datos por sistema.</t>
  </si>
  <si>
    <t>DIA-3-req-4</t>
  </si>
  <si>
    <t>Documentamos los flujos de datos entre sistemas mediante diagramas de flujo de datos (DFD).</t>
  </si>
  <si>
    <t>DIA-3-req-5</t>
  </si>
  <si>
    <t>Exigimos un acuerdo de tratamiento de datos (DPA) vigente para cada transferencia de datos a terceros.</t>
  </si>
  <si>
    <t>DIA-3-req-6</t>
  </si>
  <si>
    <t>Diagramamos el ciclo de vida del dato del negocio.</t>
  </si>
  <si>
    <t>DIA-3-req-7</t>
  </si>
  <si>
    <t>Utilizamos canales cifrados y protocolos seguros (SFTP, HTTPS, MFT) para la transferencia de datos entre sistemas y hacia terceros.</t>
  </si>
  <si>
    <t>DIA-3-req-8</t>
  </si>
  <si>
    <t>Garantizamos la destrucción segura de datos al finalizar la necesidad de retención con evidencia documentada en sistemas primarios, respaldos y sistemas de terceros.</t>
  </si>
  <si>
    <t>DIA-3-req-9</t>
  </si>
  <si>
    <t>Gestionamos los medios de almacenamiento a lo largo de todo su ciclo de vida, desde su adquisición hasta su eliminación, siguiendo los criterios de clasificación de la información.</t>
  </si>
  <si>
    <t>DIA-3-req-10</t>
  </si>
  <si>
    <t>Revisamos periódicamente el ciclo de vida para garantizar que los datos no se retengan más allá de lo necesario.</t>
  </si>
  <si>
    <t>DIA-4</t>
  </si>
  <si>
    <t>Ciberseguridad en Información y Datos</t>
  </si>
  <si>
    <t>DIA-4-req-1</t>
  </si>
  <si>
    <t>Protegemos los datos de la organización contra acceso no autorizado, modificación, divulgación o destrucción.</t>
  </si>
  <si>
    <t>DIA-4-req-2</t>
  </si>
  <si>
    <t>Prohibimos el uso de datos reales de producción en ambientes de desarrollo o pruebas sin protección aplicada.</t>
  </si>
  <si>
    <t>DIA-4-req-3</t>
  </si>
  <si>
    <t>Establecemos procedimientos formales ante solicitudes de acceso a datos por parte de autoridades o terceros.</t>
  </si>
  <si>
    <t>DIA-4-req-4</t>
  </si>
  <si>
    <t>Identificamos las normas sobre cómo se puede usar de forma aceptable la información y los activos relacionados.</t>
  </si>
  <si>
    <t>DIA-4-req-5</t>
  </si>
  <si>
    <t>Documentamos las normas sobre cómo se puede usar de forma aceptable la información y los activos relacionados.</t>
  </si>
  <si>
    <t>DIA-4-req-6</t>
  </si>
  <si>
    <t>Aplicamos las normas sobre cómo se puede usar de forma aceptable la información y los activos relacionados.</t>
  </si>
  <si>
    <t>DIA-4-req-7</t>
  </si>
  <si>
    <t>Identificamos los procedimientos para gestionar y manejar correctamente la información y los activos relacionados.</t>
  </si>
  <si>
    <t>DIA-4-req-8</t>
  </si>
  <si>
    <t>Documentamos los procedimientos para gestionar y manejar correctamente la información y los activos relacionados.</t>
  </si>
  <si>
    <t>DIA-4-req-9</t>
  </si>
  <si>
    <t>Aplicamos los procedimientos para gestionar y manejar correctamente la información y los activos relacionados.</t>
  </si>
  <si>
    <t>DIA-4-req-10</t>
  </si>
  <si>
    <t>Clasificamos la información según qué tan confidencial, íntegra y disponible debe estar, tomando en cuenta las necesidades de seguridad de la organización y lo que esperan las partes interesadas.</t>
  </si>
  <si>
    <t>DIA-4-req-11</t>
  </si>
  <si>
    <t>Desarrollamos procedimientos adecuados para etiquetar la información según el esquema de clasificación definido.</t>
  </si>
  <si>
    <t>DIA-4-req-12</t>
  </si>
  <si>
    <t>Aplicamos los procedimientos para etiquetar la información según el esquema de clasificación definido.</t>
  </si>
  <si>
    <t>DIA-4-req-13</t>
  </si>
  <si>
    <t>Contamos con reglas claras para transferir información a través de cualquier medio, tanto dentro de la organización como hacia otras partes externas.</t>
  </si>
  <si>
    <t>DIA-4-req-14</t>
  </si>
  <si>
    <t>Contamos con procedimientos claros para transferir información a través de cualquier medio, tanto dentro de la organización como hacia otras partes externas.</t>
  </si>
  <si>
    <t>DIA-4-req-15</t>
  </si>
  <si>
    <t>Contamos con acuerdos formales para transferir información a través de cualquier medio, tanto dentro de la organización como hacia otras partes externas.</t>
  </si>
  <si>
    <t>DIA-4-req-16</t>
  </si>
  <si>
    <t>Protegemos los registros de la organización contra pérdida, destrucción, falsificación, accesos no autorizados y divulgaciones indebidas.</t>
  </si>
  <si>
    <t>DIA-4-req-17</t>
  </si>
  <si>
    <t>Implementamos controles de acceso basados en la clasificación de datos (RBAC/ABAC) para datos confidenciales y restringidos.</t>
  </si>
  <si>
    <t>DIA-4-req-18</t>
  </si>
  <si>
    <t>Ciframos los datos sensibles en reposo y en tránsito.</t>
  </si>
  <si>
    <t>DIA-4-req-19</t>
  </si>
  <si>
    <t>Enmascaramos o pseudonimizamos los datos personales y sensibles antes de su uso en entornos no productivos.</t>
  </si>
  <si>
    <t>DIA-4-req-20</t>
  </si>
  <si>
    <t>Implementamos soluciones DLP en endpoints y en el correo electrónico corporativo para detectar y bloquear la transmisión no autorizada de datos sensibles.</t>
  </si>
  <si>
    <t>DIA-4-req-21</t>
  </si>
  <si>
    <t>Monitoreamos el acceso a datos críticos mediante Análisis del comportamiento de usuarios y entidades (UEBA) con alertas ante comportamientos anómalos.</t>
  </si>
  <si>
    <t>DIA-5</t>
  </si>
  <si>
    <t>Tiempo de Retención de Datos y Derecho al Olvido</t>
  </si>
  <si>
    <t>DIA-5-req-1</t>
  </si>
  <si>
    <t>Definimos y aplicamos una política de retención de datos documentada por categoría, basada en la base legal del tratamiento y los requisitos regulatorios aplicables.</t>
  </si>
  <si>
    <t>DIA-5-req-2</t>
  </si>
  <si>
    <t>Implementamos un proceso formal para atender solicitudes de derechos de los titulares: acceso, rectificación, supresión, portabilidad y oposición.</t>
  </si>
  <si>
    <t>DIA-5-req-3</t>
  </si>
  <si>
    <t>Verificamos la identidad del solicitante, registramos la solicitud y coordinamos con sistemas y terceros para ejecutar el derecho ejercido.</t>
  </si>
  <si>
    <t>DIA-5-req-4</t>
  </si>
  <si>
    <t>Comunicamos la respuesta al titular dentro de los plazos regulatorios aplicables.</t>
  </si>
  <si>
    <t>DIA-5-req-5</t>
  </si>
  <si>
    <t>Implementamos mecanismos de eliminación automática de datos al vencimiento de su período de retención en sistemas primarios y respaldos.</t>
  </si>
  <si>
    <t>DIA-5-req-6</t>
  </si>
  <si>
    <t>Eliminamos de forma segura la información almacenada en sistemas, dispositivos y medios de almacenamiento cuando ya no sea necesaria.</t>
  </si>
  <si>
    <t>DIA-5-req-7</t>
  </si>
  <si>
    <t>Mantenemos registros de eliminación como evidencia de cumplimiento regulatorio.</t>
  </si>
  <si>
    <t>DIA-5-req-8</t>
  </si>
  <si>
    <t>Revisamos la política de retención anualmente y ante cambios regulatorios.</t>
  </si>
  <si>
    <t>DIA-5-req-9</t>
  </si>
  <si>
    <t>Verificamos la eliminación en sistemas primarios, respaldos y sistemas de terceros al ejercer el derecho de supresión.</t>
  </si>
  <si>
    <t>DIA-5-req-10</t>
  </si>
  <si>
    <t>Mantenemos un registro completo de las solicitudes de derechos atendidas.</t>
  </si>
  <si>
    <t>DIA-5-req-11</t>
  </si>
  <si>
    <t>Verificamos que todos los medios de almacenamiento hayan eliminado o sobrescrito de forma segura los datos sensibles y el software con licencia antes de desecharlos.</t>
  </si>
  <si>
    <t>DIA-5-req-12</t>
  </si>
  <si>
    <t>Verificamos que todos los medios de almacenamiento hayan eliminado o sobrescrito de forma segura los datos sensibles y el software con licencia antes de reutilizarlos.</t>
  </si>
  <si>
    <t>DIA-6</t>
  </si>
  <si>
    <t>Ubicación de Información y Datos</t>
  </si>
  <si>
    <t>DIA-6-req-1</t>
  </si>
  <si>
    <t>Documentamos y mantenemos actualizado el mapa de ubicaciones geográficas donde se almacenan y procesan los datos de la organización.</t>
  </si>
  <si>
    <t>DIA-6-req-2</t>
  </si>
  <si>
    <t>Identificamos las restricciones de soberanía y residencia de datos aplicables por regulación para cada tipo de dato.</t>
  </si>
  <si>
    <t>DIA-6-req-3</t>
  </si>
  <si>
    <t>Validamos con el equipo de seguridad y compliance la selección de regiones cloud para datos con requisitos de residencia.</t>
  </si>
  <si>
    <t>DIA-6-req-4</t>
  </si>
  <si>
    <t>Evaluamos y autorizamos formalmente las transferencias de datos fuera de las jurisdicciones permitidas.</t>
  </si>
  <si>
    <t>DIA-6-req-5</t>
  </si>
  <si>
    <t>Documentamos el mecanismo legal de cumplimiento aplicable en cada transferencia internacional: cláusulas contractuales tipo, normas corporativas vinculantes o decisión de adecuación.</t>
  </si>
  <si>
    <t>DIA-6-req-6</t>
  </si>
  <si>
    <t>Exigimos un DPA actualizado para las transferencias a terceros en el extranjero que refleje los mecanismos de cumplimiento aplicables.</t>
  </si>
  <si>
    <t>DIA-6-req-7</t>
  </si>
  <si>
    <t>Implementamos controles técnicos que impidan el almacenamiento de datos en regiones no autorizadas.</t>
  </si>
  <si>
    <t>DIA-6-req-8</t>
  </si>
  <si>
    <t>Monitoreamos continuamente las transferencias de datos para detectar movimientos hacia ubicaciones no autorizadas.</t>
  </si>
  <si>
    <t>DIA-6-req-9</t>
  </si>
  <si>
    <t>Evaluamos el impacto de residencia de datos ante la incorporación de nuevas ubicaciones de almacenamiento.</t>
  </si>
  <si>
    <t>DIA-7</t>
  </si>
  <si>
    <t>Ciberseguridad en Modelos de Inteligencia Artificial</t>
  </si>
  <si>
    <t>DIA-7-req-1</t>
  </si>
  <si>
    <t>Establecemos controles de seguridad y uso responsable para el desarrollo, implementación y operación de modelos de IA en la organización.</t>
  </si>
  <si>
    <t>DIA-7-req-2</t>
  </si>
  <si>
    <t>Realizamos una evaluación de riesgos antes de adoptar o desplegar cualquier modelo de IA, ya sea desarrollado internamente, mediante APIs de terceros o modelos open source.</t>
  </si>
  <si>
    <t>DIA-7-req-3</t>
  </si>
  <si>
    <t>Analizamos en la evaluación de riesgos: riesgos de seguridad, privacidad, sesgo, equidad y cumplimiento regulatorio.</t>
  </si>
  <si>
    <t>DIA-7-req-4</t>
  </si>
  <si>
    <t>Requerimos aprobación del comité de gobernanza antes del despliegue de modelos de IA de alto riesgo.</t>
  </si>
  <si>
    <t>DIA-7-req-5</t>
  </si>
  <si>
    <t>Prohibimos incluir datos personales o confidenciales en prompts enviados a modelos de IA externos sin evaluación previa.</t>
  </si>
  <si>
    <t>DIA-7-req-6</t>
  </si>
  <si>
    <t>Restringimos el uso de datos organizacionales para el reentrenamiento de modelos de terceros.</t>
  </si>
  <si>
    <t>DIA-7-req-7</t>
  </si>
  <si>
    <t>Gestionamos la cadena de suministro de modelos de IA evaluando a proveedores, APIs de terceros y modelos open source.</t>
  </si>
  <si>
    <t>DIA-7-req-8</t>
  </si>
  <si>
    <t>Implementamos controles de filtrado de outputs para prevenir la exfiltración de datos mediante sistemas de IA.</t>
  </si>
  <si>
    <t>DIA-7-req-9</t>
  </si>
  <si>
    <t>Incluimos las vulnerabilidades específicas de IA (prompt injection, jailbreaking, model inversion, entre otras...) en los programas de evaluación de seguridad.</t>
  </si>
  <si>
    <t>DIA-7-req-10</t>
  </si>
  <si>
    <t>Protegemos que los datos no sean usados para reentrenamiento de la IA.</t>
  </si>
  <si>
    <t>THP</t>
  </si>
  <si>
    <t>Ciberseguridad en Talento Humano y Proveedores</t>
  </si>
  <si>
    <t>THP-1</t>
  </si>
  <si>
    <t>Capacitación de Ciberseguridad</t>
  </si>
  <si>
    <t>THP-1-req-1</t>
  </si>
  <si>
    <t>Implementamos un programa de formación continua en ciberseguridad para todos los colaboradores de la organización.</t>
  </si>
  <si>
    <t>THP-1-req-2</t>
  </si>
  <si>
    <t>Completamos los cursos de inducción en ciberseguridad para nuevos colaboradores en un tiempo definido.</t>
  </si>
  <si>
    <t>THP-1-req-3</t>
  </si>
  <si>
    <t>Realizamos capacitación anual de actualización en ciberseguridad para toda la plantilla.</t>
  </si>
  <si>
    <t>THP-1-req-4</t>
  </si>
  <si>
    <t>Impartimos formación especializada a los roles con responsabilidades de seguridad o críticos en seguridad.</t>
  </si>
  <si>
    <t>THP-1-req-5</t>
  </si>
  <si>
    <t>Aplicamos formación correctiva inmediata a los colaboradores que hacen clic o proporcionar credenciales en el phishing simulado.</t>
  </si>
  <si>
    <t>THP-1-req-6</t>
  </si>
  <si>
    <t>Impartimos charlas periódicas sobre amenazas emergentes.</t>
  </si>
  <si>
    <t>THP-1-req-7</t>
  </si>
  <si>
    <t>Identificamos los conocimientos y habilidades que deben tener las personas cuyo trabajo impacta en la seguridad de la información y tomamos acciones para cerrar las brechas de competencia identificadas.</t>
  </si>
  <si>
    <t>THP-1-req-8</t>
  </si>
  <si>
    <t>Nos aseguramos de que todas las personas de la organización conozcan y entiendan la política de seguridad de la información, cómo su trabajo contribuye al funcionamiento del sistema de gestión y qué puede ocurrir si no cumplen los requisitos establecidos.</t>
  </si>
  <si>
    <t>THP-1-req-9</t>
  </si>
  <si>
    <t>Nos aseguramos de que el personal reciba actualizaciones periódicas sobre la política de seguridad de la información y los procedimientos relacionados con su puesto.</t>
  </si>
  <si>
    <t>THP-1-req-10</t>
  </si>
  <si>
    <t>Incluimos en los contratos de trabajo las responsabilidades del personal y de la organización en materia de seguridad de la información.</t>
  </si>
  <si>
    <t>THP-1-req-11</t>
  </si>
  <si>
    <t>Contamos con un proceso disciplinario formal que define las acciones a tomar cuando alguien cause una brecha de seguridad, y lo comunicamos a los empleados y partes interesadas que corresponda.</t>
  </si>
  <si>
    <t>THP-1-req-12</t>
  </si>
  <si>
    <t>Definimos, aseguramos el cumplimiento y comunicamos al personal y partes interesadas las responsabilidades en seguridad de la información que continúan vigentes cuando alguien deja o cambia de puesto en la organización.</t>
  </si>
  <si>
    <t>THP-1-req-13</t>
  </si>
  <si>
    <t>Impartimos a toda la compañía un curso de ciberseguridad con currículo definido que incluya modalidades de cibercrimen frecuente, protección de datos e inteligencia artificial.</t>
  </si>
  <si>
    <t>THP-1-req-14</t>
  </si>
  <si>
    <t>Realizamos simulaciones de phishing internas con una frecuencia programada para evaluar la conciencia de seguridad.</t>
  </si>
  <si>
    <t>THP-1-req-15</t>
  </si>
  <si>
    <t>Analizamos los resultados de las simulaciones para identificar grupos de alto riesgo y adaptar el programa de concienciación.</t>
  </si>
  <si>
    <t>THP-1-req-16</t>
  </si>
  <si>
    <t>Definimos tasas de aprobación mínimas con un porcentaje definido y hacemos seguimiento de completitud por área.</t>
  </si>
  <si>
    <t>THP-1-req-17</t>
  </si>
  <si>
    <t>Reportamos las métricas de efectividad del programa de formación al comité de seguridad.</t>
  </si>
  <si>
    <t>THP-1-req-18</t>
  </si>
  <si>
    <t>Guardamos evidencia documentada que demuestra que el personal cuenta con las competencias necesarias en seguridad de la información.</t>
  </si>
  <si>
    <t>THP-2</t>
  </si>
  <si>
    <t>Trabajo Remoto</t>
  </si>
  <si>
    <t>THP-2-req-1</t>
  </si>
  <si>
    <t>Establecemos controles de seguridad para garantizar que los colaboradores remotos mantengan el mismo nivel de protección que en las instalaciones físicas.</t>
  </si>
  <si>
    <t>THP-2-req-2</t>
  </si>
  <si>
    <t>Evaluamos y aprobamos con configuración corporativa segura las herramientas de colaboración en la nube de uso oficial.</t>
  </si>
  <si>
    <t>THP-2-req-3</t>
  </si>
  <si>
    <t>Prohibimos el uso de redes Wi-Fi públicas sin VPN activa.</t>
  </si>
  <si>
    <t>THP-2-req-4</t>
  </si>
  <si>
    <t>Comunicamos y hacemos cumplir la política de escritorio limpio en entornos domésticos.</t>
  </si>
  <si>
    <t>THP-2-req-5</t>
  </si>
  <si>
    <t>Aplicamos medidas de seguridad para proteger la información a la que se acceda cuando el personal trabaje de forma remota.</t>
  </si>
  <si>
    <t>THP-2-req-6</t>
  </si>
  <si>
    <t>Aplicamos medidas de seguridad para proteger la información que se procese cuando el personal trabaje de forma remota.</t>
  </si>
  <si>
    <t>THP-2-req-7</t>
  </si>
  <si>
    <t>Aplicamos medidas de seguridad para proteger la información que se almacene cuando el personal trabaje de forma remota.</t>
  </si>
  <si>
    <t>THP-2-req-8</t>
  </si>
  <si>
    <t>Exigimos VPN corporativa con MFA en la autenticación para todo acceso remoto, red corporativa y recursos corporativos.</t>
  </si>
  <si>
    <t>THP-2-req-9</t>
  </si>
  <si>
    <t>Gestionamos los dispositivos de trabajo remoto mediante soluciones MDM/UEM con políticas de seguridad aplicadas.</t>
  </si>
  <si>
    <t>THP-2-req-10</t>
  </si>
  <si>
    <t>Exigimos cifrado de disco, bloqueo por inactividad y restricción de aplicaciones no autorizadas en todos los dispositivos remotos.</t>
  </si>
  <si>
    <t>THP-2-req-11</t>
  </si>
  <si>
    <t>Realizamos evaluaciones periódicas de cumplimiento de políticas de seguridad en dispositivos remotos.</t>
  </si>
  <si>
    <t>THP-3</t>
  </si>
  <si>
    <t>Inventario de la Cadena de Suministro</t>
  </si>
  <si>
    <t>THP-3-req-1</t>
  </si>
  <si>
    <t>Mantenemos un registro completo y actualizado de todos los proveedores, socios y terceros con acceso a sistemas, datos o infraestructura de la organización.</t>
  </si>
  <si>
    <t>THP-3-req-2</t>
  </si>
  <si>
    <t>Incluimos en el inventario a los proveedores de software, servicios cloud, servicios de seguridad, integradores y contratistas.</t>
  </si>
  <si>
    <t>THP-3-req-3</t>
  </si>
  <si>
    <t>Registramos para cada proveedor: nombre, tipo de servicio, nivel de acceso, datos compartidos, criticidad, responsable interno, certificaciones vigentes y fecha de última evaluación.</t>
  </si>
  <si>
    <t>THP-3-req-4</t>
  </si>
  <si>
    <t>Realizamos due diligence de seguridad como parte obligatoria del proceso de incorporación de nuevos proveedores.</t>
  </si>
  <si>
    <t>THP-3-req-5</t>
  </si>
  <si>
    <t>Evaluamos a los nuevos proveedores mediante cuestionarios definidos y verificamos sus certificaciones relevantes.</t>
  </si>
  <si>
    <t>THP-3-req-6</t>
  </si>
  <si>
    <t>Clasificamos los proveedores por nivel de criticidad y acceso para determinar la profundidad del due diligence requerido.</t>
  </si>
  <si>
    <t>THP-3-req-7</t>
  </si>
  <si>
    <t>Nos aseguramos de que los procesos, productos o servicios externos que afecten al sistema de gestión de seguridad de la información estén debidamente controlados.</t>
  </si>
  <si>
    <t>THP-3-req-8</t>
  </si>
  <si>
    <t>Nos aseguramos de que empleados y terceros devuelvan todos los activos de la organización que tengan en su poder cuando cambien de rol o finalicen su relación con la organización.</t>
  </si>
  <si>
    <t>THP-3-req-9</t>
  </si>
  <si>
    <t>Definimos y aplicamos procesos y procedimientos para gestionar los riesgos de seguridad asociados a la cadena de suministro de productos y servicios tecnológicos.</t>
  </si>
  <si>
    <t>THP-3-req-10</t>
  </si>
  <si>
    <t>Verificamos los antecedentes de todos los candidatos antes de contratarlos, cumpliendo con las leyes y normas aplicables y de forma proporcional al nivel de acceso a la información que tendrán.</t>
  </si>
  <si>
    <t>THP-3-req-11</t>
  </si>
  <si>
    <t>Revisamos el inventario de proveedores con una frecuencia definida para identificar los que ya no cumplen los requisitos de seguridad.</t>
  </si>
  <si>
    <t>THP-3-req-12</t>
  </si>
  <si>
    <t>Verificamos los antecedentes del personal de forma continua, cumpliendo con las leyes y normas aplicables y según los riesgos identificados.</t>
  </si>
  <si>
    <t>THP-4</t>
  </si>
  <si>
    <t>Modelo de Responsabilidad Compartida en la Cadena de Suministro</t>
  </si>
  <si>
    <t>THP-4-req-1</t>
  </si>
  <si>
    <t>Definimos claramente las responsabilidades de ciberseguridad entre la organización y cada proveedor o tercero.</t>
  </si>
  <si>
    <t>THP-4-req-2</t>
  </si>
  <si>
    <t>Clasificamos a los proveedores y terceros en niveles de riesgo: crítico, alto, medio y bajo.</t>
  </si>
  <si>
    <t>THP-4-req-3</t>
  </si>
  <si>
    <t>Definimos requisitos mínimos de seguridad para cada nivel de riesgo: certificaciones obligatorias, políticas exigibles y controles técnicos requeridos.</t>
  </si>
  <si>
    <t>THP-4-req-4</t>
  </si>
  <si>
    <t>Definimos la frecuencia de evaluación de cumplimiento según el nivel de riesgo de cada proveedor.</t>
  </si>
  <si>
    <t>THP-4-req-5</t>
  </si>
  <si>
    <t>Incluimos en los contratos con proveedores la obligación de notificar incidentes de seguridad en un tiempo definido.</t>
  </si>
  <si>
    <t>THP-4-req-6</t>
  </si>
  <si>
    <t>Incluimos en los contratos el derecho de auditoría o acceso a evaluaciones de terceros equivalentes.</t>
  </si>
  <si>
    <t>THP-4-req-7</t>
  </si>
  <si>
    <t>Exigimos contractualmente la eliminación segura de datos organizacionales al término del contrato.</t>
  </si>
  <si>
    <t>THP-4-req-8</t>
  </si>
  <si>
    <t>Establecemos contractualmente la responsabilidad del proveedor ante brechas de seguridad causadas por su parte.</t>
  </si>
  <si>
    <t>THP-4-req-9</t>
  </si>
  <si>
    <t>Revisamos los contratos con proveedores junto al equipo de seguridad antes de su firma.</t>
  </si>
  <si>
    <t>THP-4-req-10</t>
  </si>
  <si>
    <t>Identificamos y aplicamos procesos y procedimientos para gestionar los riesgos de seguridad de la información que surgen del uso de productos o servicios de proveedores, definiendo y acordando con cada uno los requisitos de seguridad que correspondan según el tipo de relación establecida.</t>
  </si>
  <si>
    <t>THP-4-req-11</t>
  </si>
  <si>
    <t>Revocamos de inmediato todos los accesos lógicos y físicos al terminar la relación con un proveedor.</t>
  </si>
  <si>
    <t>THP-4-req-12</t>
  </si>
  <si>
    <t>Evaluamos periódicamente a los proveedores críticos y de alto riesgo para verificar el cumplimiento de sus certificaciones y requisitos de seguridad.</t>
  </si>
  <si>
    <t>THP-4-req-13</t>
  </si>
  <si>
    <t>Generamos informes de cumplimiento con acciones de remediación ante desviaciones detectadas en las evaluaciones.</t>
  </si>
  <si>
    <t>THP-4-req-14</t>
  </si>
  <si>
    <t>Verificamos la eliminación segura de datos organizacionales en los sistemas del proveedor al finalizar el contrato.</t>
  </si>
  <si>
    <t>THP-4-req-15</t>
  </si>
  <si>
    <t>Monitorizamos, revisamos y gestionamos de forma regular los cambios en las prácticas de seguridad y en la prestación de servicios de los proveedores.</t>
  </si>
  <si>
    <t>THP-4-req-16</t>
  </si>
  <si>
    <t>Identificamos, documentamos y revisamos regularmente los acuerdos de confidencialidad o no divulgación (NDA) que reflejen las necesidades de protección de la información de la organización, y nos aseguramos de que el personal y las partes interesadas relevantes los firmen.</t>
  </si>
  <si>
    <t>THP-4-req-17</t>
  </si>
  <si>
    <t>Supervisamos, monitorizamos y revisamos las actividades de desarrollo de sistemas de información cuando estas sean realizadas por terceros externos.</t>
  </si>
  <si>
    <t>Resultado de Madurez — Cuestionario Completo</t>
  </si>
  <si>
    <t>Total de requisitos (n)</t>
  </si>
  <si>
    <t>Respuestas registradas</t>
  </si>
  <si>
    <t>Suma de puntos obtenidos (Σpi)</t>
  </si>
  <si>
    <t>Puntos máximos posibles (5×n)</t>
  </si>
  <si>
    <t>% de Madurez (M)</t>
  </si>
  <si>
    <t>Descripción del nivel</t>
  </si>
  <si>
    <t>Desglose por Dominio</t>
  </si>
  <si>
    <t>Requisitos</t>
  </si>
  <si>
    <t>Puntos Obtenidos</t>
  </si>
  <si>
    <t>Puntos Máximos</t>
  </si>
  <si>
    <t>% Madurez</t>
  </si>
  <si>
    <t>Cuestionario del ámbito Interno — pendiente</t>
  </si>
  <si>
    <t>Este cuestionario todavía no tiene definido el criterio de alcance por requisito (qué requisitos de los 491 aplican específicamente a este ámbito de gestión).</t>
  </si>
  <si>
    <t>Mientras se define ese criterio, utiliza la pestaña "Cuestionario - Completo", que ya incluye los 491 requisitos de los 8 dominios y su cálculo de madurez en la pestaña "Resultado - Completo".</t>
  </si>
  <si>
    <t>Cuestionario del ámbito Terceros — pendiente</t>
  </si>
  <si>
    <t>Cuestionario del ámbito Externo —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</si>
</sst>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color theme="1"/>
      <family val="2"/>
      <scheme val="minor"/>
      <sz val="11"/>
      <name val="Calibri"/>
    </font>
    <font>
      <b/>
      <sz val="20"/>
    </font>
    <font>
      <i/>
      <sz val="13"/>
    </font>
    <font>
      <b/>
      <sz val="14"/>
    </font>
    <font>
      <sz val="11"/>
    </font>
    <font>
      <i/>
      <color rgb="FF666666"/>
      <sz val="9"/>
    </font>
    <font>
      <b/>
      <color rgb="FFFFFFFF"/>
    </font>
    <font>
      <b/>
      <color rgb="FFFFFFFF"/>
      <sz val="16"/>
    </font>
    <font>
      <b/>
    </font>
    <font>
      <b/>
      <sz val="16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3CD"/>
      </patternFill>
    </fill>
    <fill>
      <patternFill patternType="solid">
        <fgColor rgb="FFF2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7" fillId="2" borderId="0" xfId="0" applyFont="1" applyFill="1" applyAlignment="1">
      <alignment horizontal="left" vertical="center" indent="1"/>
    </xf>
    <xf numFmtId="0" fontId="8" fillId="0" borderId="0" xfId="0" applyFont="1"/>
    <xf numFmtId="164" fontId="3" fillId="0" borderId="0" xfId="0" applyNumberFormat="1" applyFont="1"/>
    <xf numFmtId="0" fontId="3" fillId="0" borderId="0" xfId="0" applyFont="1"/>
    <xf numFmtId="0" fontId="6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44"/>
  </sheetPr>
  <dimension ref="A1:B24"/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2" x14ac:dyDescent="0.25">
      <c r="A1" t="s">
        <v>0</v>
      </c>
      <c r="B1" s="1" t="s">
        <v>1</v>
      </c>
    </row>
    <row r="2" ht="22" customHeight="1" spans="1:2" x14ac:dyDescent="0.25">
      <c r="A2" t="s">
        <v>0</v>
      </c>
      <c r="B2" s="2" t="s">
        <v>2</v>
      </c>
    </row>
    <row r="4" spans="1:2" x14ac:dyDescent="0.25">
      <c r="A4" t="s">
        <v>0</v>
      </c>
      <c r="B4" s="3" t="s">
        <v>3</v>
      </c>
    </row>
    <row r="5" spans="1:2" x14ac:dyDescent="0.25">
      <c r="A5" t="s">
        <v>0</v>
      </c>
      <c r="B5" s="4" t="s">
        <v>4</v>
      </c>
    </row>
    <row r="7" spans="1:2" x14ac:dyDescent="0.25">
      <c r="A7" t="s">
        <v>0</v>
      </c>
      <c r="B7" s="3" t="s">
        <v>5</v>
      </c>
    </row>
    <row r="8" spans="1:2" x14ac:dyDescent="0.25">
      <c r="A8" t="s">
        <v>0</v>
      </c>
      <c r="B8" s="4" t="s">
        <v>6</v>
      </c>
    </row>
    <row r="9" spans="1:2" x14ac:dyDescent="0.25">
      <c r="A9" t="s">
        <v>0</v>
      </c>
      <c r="B9" s="4" t="s">
        <v>7</v>
      </c>
    </row>
    <row r="10" spans="1:2" x14ac:dyDescent="0.25">
      <c r="A10" t="s">
        <v>0</v>
      </c>
      <c r="B10" s="4" t="s">
        <v>8</v>
      </c>
    </row>
    <row r="11" spans="1:2" x14ac:dyDescent="0.25">
      <c r="A11" t="s">
        <v>0</v>
      </c>
      <c r="B11" s="4" t="s">
        <v>9</v>
      </c>
    </row>
    <row r="12" spans="1:2" x14ac:dyDescent="0.25">
      <c r="A12" t="s">
        <v>0</v>
      </c>
      <c r="B12" s="4" t="s">
        <v>10</v>
      </c>
    </row>
    <row r="14" spans="1:2" x14ac:dyDescent="0.25">
      <c r="A14" t="s">
        <v>0</v>
      </c>
      <c r="B14" s="3" t="s">
        <v>11</v>
      </c>
    </row>
    <row r="15" spans="1:2" x14ac:dyDescent="0.25">
      <c r="A15" t="s">
        <v>0</v>
      </c>
      <c r="B15" s="4" t="s">
        <v>12</v>
      </c>
    </row>
    <row r="17" spans="1:2" x14ac:dyDescent="0.25">
      <c r="A17" t="s">
        <v>0</v>
      </c>
      <c r="B17" s="3" t="s">
        <v>13</v>
      </c>
    </row>
    <row r="18" spans="1:2" x14ac:dyDescent="0.25">
      <c r="A18" t="s">
        <v>0</v>
      </c>
      <c r="B18" s="4" t="s">
        <v>14</v>
      </c>
    </row>
    <row r="19" spans="1:2" x14ac:dyDescent="0.25">
      <c r="A19" t="s">
        <v>0</v>
      </c>
      <c r="B19" s="4" t="s">
        <v>15</v>
      </c>
    </row>
    <row r="21" spans="1:2" x14ac:dyDescent="0.25">
      <c r="A21" t="s">
        <v>0</v>
      </c>
      <c r="B21" s="3" t="s">
        <v>16</v>
      </c>
    </row>
    <row r="22" spans="1:2" x14ac:dyDescent="0.25">
      <c r="A22" t="s">
        <v>0</v>
      </c>
      <c r="B22" s="4" t="s">
        <v>17</v>
      </c>
    </row>
    <row r="24" spans="1:2" x14ac:dyDescent="0.25">
      <c r="A24" t="s">
        <v>0</v>
      </c>
      <c r="B24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90" customWidth="1"/>
  </cols>
  <sheetData>
    <row r="1" ht="30" customHeight="1" spans="1:4" x14ac:dyDescent="0.25">
      <c r="A1" s="6" t="s">
        <v>19</v>
      </c>
      <c r="B1" s="6" t="s">
        <v>20</v>
      </c>
      <c r="C1" s="6" t="s">
        <v>21</v>
      </c>
      <c r="D1" s="6" t="s">
        <v>22</v>
      </c>
    </row>
    <row r="2" spans="1:4" x14ac:dyDescent="0.25">
      <c r="A2">
        <v>0</v>
      </c>
      <c r="B2" s="7">
        <v>0</v>
      </c>
      <c r="C2" t="s">
        <v>23</v>
      </c>
      <c r="D2" s="8" t="s">
        <v>24</v>
      </c>
    </row>
    <row r="3" spans="1:4" x14ac:dyDescent="0.25">
      <c r="A3">
        <v>1</v>
      </c>
      <c r="B3" s="7">
        <v>0.2</v>
      </c>
      <c r="C3" t="s">
        <v>25</v>
      </c>
      <c r="D3" s="8" t="s">
        <v>26</v>
      </c>
    </row>
    <row r="4" spans="1:4" x14ac:dyDescent="0.25">
      <c r="A4">
        <v>2</v>
      </c>
      <c r="B4" s="7">
        <v>0.4</v>
      </c>
      <c r="C4" t="s">
        <v>27</v>
      </c>
      <c r="D4" s="8" t="s">
        <v>28</v>
      </c>
    </row>
    <row r="5" spans="1:4" x14ac:dyDescent="0.25">
      <c r="A5">
        <v>3</v>
      </c>
      <c r="B5" s="7">
        <v>0.6</v>
      </c>
      <c r="C5" t="s">
        <v>29</v>
      </c>
      <c r="D5" s="8" t="s">
        <v>30</v>
      </c>
    </row>
    <row r="6" spans="1:4" x14ac:dyDescent="0.25">
      <c r="A6">
        <v>4</v>
      </c>
      <c r="B6" s="7">
        <v>0.8</v>
      </c>
      <c r="C6" t="s">
        <v>31</v>
      </c>
      <c r="D6" s="8" t="s">
        <v>32</v>
      </c>
    </row>
    <row r="7" spans="1:4" x14ac:dyDescent="0.25">
      <c r="A7">
        <v>5</v>
      </c>
      <c r="B7" s="7">
        <v>1</v>
      </c>
      <c r="C7" t="s">
        <v>33</v>
      </c>
      <c r="D7" s="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4" customWidth="1"/>
    <col min="4" max="4" width="100" customWidth="1"/>
  </cols>
  <sheetData>
    <row r="1" ht="30" customHeight="1" spans="1:4" x14ac:dyDescent="0.25">
      <c r="A1" s="6" t="s">
        <v>35</v>
      </c>
      <c r="B1" s="6" t="s">
        <v>36</v>
      </c>
      <c r="C1" s="6" t="s">
        <v>21</v>
      </c>
      <c r="D1" s="6" t="s">
        <v>22</v>
      </c>
    </row>
    <row r="2" spans="1:4" x14ac:dyDescent="0.25">
      <c r="A2" s="7">
        <v>0</v>
      </c>
      <c r="B2" t="s">
        <v>37</v>
      </c>
      <c r="C2" t="s">
        <v>38</v>
      </c>
      <c r="D2" s="8" t="s">
        <v>39</v>
      </c>
    </row>
    <row r="3" spans="1:4" x14ac:dyDescent="0.25">
      <c r="A3" s="7">
        <v>0.2</v>
      </c>
      <c r="B3" t="s">
        <v>40</v>
      </c>
      <c r="C3" t="s">
        <v>41</v>
      </c>
      <c r="D3" s="8" t="s">
        <v>42</v>
      </c>
    </row>
    <row r="4" spans="1:4" x14ac:dyDescent="0.25">
      <c r="A4" s="7">
        <v>0.4</v>
      </c>
      <c r="B4" t="s">
        <v>43</v>
      </c>
      <c r="C4" t="s">
        <v>44</v>
      </c>
      <c r="D4" s="8" t="s">
        <v>45</v>
      </c>
    </row>
    <row r="5" spans="1:4" x14ac:dyDescent="0.25">
      <c r="A5" s="7">
        <v>0.6</v>
      </c>
      <c r="B5" t="s">
        <v>46</v>
      </c>
      <c r="C5" t="s">
        <v>47</v>
      </c>
      <c r="D5" s="8" t="s">
        <v>48</v>
      </c>
    </row>
    <row r="6" spans="1:4" x14ac:dyDescent="0.25">
      <c r="A6" s="7">
        <v>0.8</v>
      </c>
      <c r="B6" t="s">
        <v>49</v>
      </c>
      <c r="C6" t="s">
        <v>50</v>
      </c>
      <c r="D6" s="8" t="s">
        <v>51</v>
      </c>
    </row>
    <row r="7" spans="1:4" x14ac:dyDescent="0.25">
      <c r="A7" s="7">
        <v>1</v>
      </c>
      <c r="B7" t="s">
        <v>52</v>
      </c>
      <c r="C7" t="s">
        <v>53</v>
      </c>
      <c r="D7" s="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44"/>
  </sheetPr>
  <dimension ref="A1:J492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6" customWidth="1"/>
    <col min="4" max="4" width="10" customWidth="1"/>
    <col min="5" max="5" width="30" customWidth="1"/>
    <col min="6" max="6" width="16" customWidth="1"/>
    <col min="7" max="7" width="90" customWidth="1"/>
    <col min="8" max="9" width="15" customWidth="1"/>
    <col min="10" max="10" width="20" customWidth="1"/>
  </cols>
  <sheetData>
    <row r="1" ht="30" customHeight="1" spans="1:10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21</v>
      </c>
    </row>
    <row r="2" spans="1:10" x14ac:dyDescent="0.25">
      <c r="A2">
        <v>1</v>
      </c>
      <c r="B2" t="s">
        <v>64</v>
      </c>
      <c r="C2" s="8" t="s">
        <v>65</v>
      </c>
      <c r="D2" t="s">
        <v>66</v>
      </c>
      <c r="E2" s="8" t="s">
        <v>67</v>
      </c>
      <c r="F2" t="s">
        <v>68</v>
      </c>
      <c r="G2" s="8" t="s">
        <v>69</v>
      </c>
      <c r="H2" s="9"/>
      <c r="I2" s="10">
        <f>IF(H2="","",H2/5)</f>
      </c>
      <c r="J2" s="11">
        <f>IF(H2="","",VLOOKUP(H2,Escala!$A$2:$C$7,3,FALSE))</f>
      </c>
    </row>
    <row r="3" spans="1:10" x14ac:dyDescent="0.25">
      <c r="A3" s="12">
        <v>2</v>
      </c>
      <c r="B3" s="12" t="s">
        <v>64</v>
      </c>
      <c r="C3" s="13" t="s">
        <v>65</v>
      </c>
      <c r="D3" s="12" t="s">
        <v>66</v>
      </c>
      <c r="E3" s="13" t="s">
        <v>67</v>
      </c>
      <c r="F3" s="12" t="s">
        <v>70</v>
      </c>
      <c r="G3" s="13" t="s">
        <v>71</v>
      </c>
      <c r="H3" s="9"/>
      <c r="I3" s="10">
        <f>IF(H3="","",H3/5)</f>
      </c>
      <c r="J3" s="11">
        <f>IF(H3="","",VLOOKUP(H3,Escala!$A$2:$C$7,3,FALSE))</f>
      </c>
    </row>
    <row r="4" spans="1:10" x14ac:dyDescent="0.25">
      <c r="A4">
        <v>3</v>
      </c>
      <c r="B4" t="s">
        <v>64</v>
      </c>
      <c r="C4" s="8" t="s">
        <v>65</v>
      </c>
      <c r="D4" t="s">
        <v>66</v>
      </c>
      <c r="E4" s="8" t="s">
        <v>67</v>
      </c>
      <c r="F4" t="s">
        <v>72</v>
      </c>
      <c r="G4" s="8" t="s">
        <v>73</v>
      </c>
      <c r="H4" s="9"/>
      <c r="I4" s="10">
        <f>IF(H4="","",H4/5)</f>
      </c>
      <c r="J4" s="11">
        <f>IF(H4="","",VLOOKUP(H4,Escala!$A$2:$C$7,3,FALSE))</f>
      </c>
    </row>
    <row r="5" spans="1:10" x14ac:dyDescent="0.25">
      <c r="A5" s="12">
        <v>4</v>
      </c>
      <c r="B5" s="12" t="s">
        <v>64</v>
      </c>
      <c r="C5" s="13" t="s">
        <v>65</v>
      </c>
      <c r="D5" s="12" t="s">
        <v>66</v>
      </c>
      <c r="E5" s="13" t="s">
        <v>67</v>
      </c>
      <c r="F5" s="12" t="s">
        <v>74</v>
      </c>
      <c r="G5" s="13" t="s">
        <v>75</v>
      </c>
      <c r="H5" s="9"/>
      <c r="I5" s="10">
        <f>IF(H5="","",H5/5)</f>
      </c>
      <c r="J5" s="11">
        <f>IF(H5="","",VLOOKUP(H5,Escala!$A$2:$C$7,3,FALSE))</f>
      </c>
    </row>
    <row r="6" spans="1:10" x14ac:dyDescent="0.25">
      <c r="A6">
        <v>5</v>
      </c>
      <c r="B6" t="s">
        <v>64</v>
      </c>
      <c r="C6" s="8" t="s">
        <v>65</v>
      </c>
      <c r="D6" t="s">
        <v>66</v>
      </c>
      <c r="E6" s="8" t="s">
        <v>67</v>
      </c>
      <c r="F6" t="s">
        <v>76</v>
      </c>
      <c r="G6" s="8" t="s">
        <v>77</v>
      </c>
      <c r="H6" s="9"/>
      <c r="I6" s="10">
        <f>IF(H6="","",H6/5)</f>
      </c>
      <c r="J6" s="11">
        <f>IF(H6="","",VLOOKUP(H6,Escala!$A$2:$C$7,3,FALSE))</f>
      </c>
    </row>
    <row r="7" spans="1:10" x14ac:dyDescent="0.25">
      <c r="A7" s="12">
        <v>6</v>
      </c>
      <c r="B7" s="12" t="s">
        <v>64</v>
      </c>
      <c r="C7" s="13" t="s">
        <v>65</v>
      </c>
      <c r="D7" s="12" t="s">
        <v>66</v>
      </c>
      <c r="E7" s="13" t="s">
        <v>67</v>
      </c>
      <c r="F7" s="12" t="s">
        <v>78</v>
      </c>
      <c r="G7" s="13" t="s">
        <v>79</v>
      </c>
      <c r="H7" s="9"/>
      <c r="I7" s="10">
        <f>IF(H7="","",H7/5)</f>
      </c>
      <c r="J7" s="11">
        <f>IF(H7="","",VLOOKUP(H7,Escala!$A$2:$C$7,3,FALSE))</f>
      </c>
    </row>
    <row r="8" spans="1:10" x14ac:dyDescent="0.25">
      <c r="A8">
        <v>7</v>
      </c>
      <c r="B8" t="s">
        <v>64</v>
      </c>
      <c r="C8" s="8" t="s">
        <v>65</v>
      </c>
      <c r="D8" t="s">
        <v>66</v>
      </c>
      <c r="E8" s="8" t="s">
        <v>67</v>
      </c>
      <c r="F8" t="s">
        <v>80</v>
      </c>
      <c r="G8" s="8" t="s">
        <v>81</v>
      </c>
      <c r="H8" s="9"/>
      <c r="I8" s="10">
        <f>IF(H8="","",H8/5)</f>
      </c>
      <c r="J8" s="11">
        <f>IF(H8="","",VLOOKUP(H8,Escala!$A$2:$C$7,3,FALSE))</f>
      </c>
    </row>
    <row r="9" spans="1:10" x14ac:dyDescent="0.25">
      <c r="A9" s="12">
        <v>8</v>
      </c>
      <c r="B9" s="12" t="s">
        <v>64</v>
      </c>
      <c r="C9" s="13" t="s">
        <v>65</v>
      </c>
      <c r="D9" s="12" t="s">
        <v>66</v>
      </c>
      <c r="E9" s="13" t="s">
        <v>67</v>
      </c>
      <c r="F9" s="12" t="s">
        <v>82</v>
      </c>
      <c r="G9" s="13" t="s">
        <v>83</v>
      </c>
      <c r="H9" s="9"/>
      <c r="I9" s="10">
        <f>IF(H9="","",H9/5)</f>
      </c>
      <c r="J9" s="11">
        <f>IF(H9="","",VLOOKUP(H9,Escala!$A$2:$C$7,3,FALSE))</f>
      </c>
    </row>
    <row r="10" spans="1:10" x14ac:dyDescent="0.25">
      <c r="A10">
        <v>9</v>
      </c>
      <c r="B10" t="s">
        <v>64</v>
      </c>
      <c r="C10" s="8" t="s">
        <v>65</v>
      </c>
      <c r="D10" t="s">
        <v>66</v>
      </c>
      <c r="E10" s="8" t="s">
        <v>67</v>
      </c>
      <c r="F10" t="s">
        <v>84</v>
      </c>
      <c r="G10" s="8" t="s">
        <v>85</v>
      </c>
      <c r="H10" s="9"/>
      <c r="I10" s="10">
        <f>IF(H10="","",H10/5)</f>
      </c>
      <c r="J10" s="11">
        <f>IF(H10="","",VLOOKUP(H10,Escala!$A$2:$C$7,3,FALSE))</f>
      </c>
    </row>
    <row r="11" spans="1:10" x14ac:dyDescent="0.25">
      <c r="A11" s="12">
        <v>10</v>
      </c>
      <c r="B11" s="12" t="s">
        <v>64</v>
      </c>
      <c r="C11" s="13" t="s">
        <v>65</v>
      </c>
      <c r="D11" s="12" t="s">
        <v>66</v>
      </c>
      <c r="E11" s="13" t="s">
        <v>67</v>
      </c>
      <c r="F11" s="12" t="s">
        <v>86</v>
      </c>
      <c r="G11" s="13" t="s">
        <v>87</v>
      </c>
      <c r="H11" s="9"/>
      <c r="I11" s="10">
        <f>IF(H11="","",H11/5)</f>
      </c>
      <c r="J11" s="11">
        <f>IF(H11="","",VLOOKUP(H11,Escala!$A$2:$C$7,3,FALSE))</f>
      </c>
    </row>
    <row r="12" spans="1:10" x14ac:dyDescent="0.25">
      <c r="A12">
        <v>11</v>
      </c>
      <c r="B12" t="s">
        <v>64</v>
      </c>
      <c r="C12" s="8" t="s">
        <v>65</v>
      </c>
      <c r="D12" t="s">
        <v>66</v>
      </c>
      <c r="E12" s="8" t="s">
        <v>67</v>
      </c>
      <c r="F12" t="s">
        <v>88</v>
      </c>
      <c r="G12" s="8" t="s">
        <v>89</v>
      </c>
      <c r="H12" s="9"/>
      <c r="I12" s="10">
        <f>IF(H12="","",H12/5)</f>
      </c>
      <c r="J12" s="11">
        <f>IF(H12="","",VLOOKUP(H12,Escala!$A$2:$C$7,3,FALSE))</f>
      </c>
    </row>
    <row r="13" spans="1:10" x14ac:dyDescent="0.25">
      <c r="A13" s="12">
        <v>12</v>
      </c>
      <c r="B13" s="12" t="s">
        <v>64</v>
      </c>
      <c r="C13" s="13" t="s">
        <v>65</v>
      </c>
      <c r="D13" s="12" t="s">
        <v>66</v>
      </c>
      <c r="E13" s="13" t="s">
        <v>67</v>
      </c>
      <c r="F13" s="12" t="s">
        <v>90</v>
      </c>
      <c r="G13" s="13" t="s">
        <v>91</v>
      </c>
      <c r="H13" s="9"/>
      <c r="I13" s="10">
        <f>IF(H13="","",H13/5)</f>
      </c>
      <c r="J13" s="11">
        <f>IF(H13="","",VLOOKUP(H13,Escala!$A$2:$C$7,3,FALSE))</f>
      </c>
    </row>
    <row r="14" spans="1:10" x14ac:dyDescent="0.25">
      <c r="A14">
        <v>13</v>
      </c>
      <c r="B14" t="s">
        <v>64</v>
      </c>
      <c r="C14" s="8" t="s">
        <v>65</v>
      </c>
      <c r="D14" t="s">
        <v>66</v>
      </c>
      <c r="E14" s="8" t="s">
        <v>67</v>
      </c>
      <c r="F14" t="s">
        <v>92</v>
      </c>
      <c r="G14" s="8" t="s">
        <v>93</v>
      </c>
      <c r="H14" s="9"/>
      <c r="I14" s="10">
        <f>IF(H14="","",H14/5)</f>
      </c>
      <c r="J14" s="11">
        <f>IF(H14="","",VLOOKUP(H14,Escala!$A$2:$C$7,3,FALSE))</f>
      </c>
    </row>
    <row r="15" spans="1:10" x14ac:dyDescent="0.25">
      <c r="A15" s="12">
        <v>14</v>
      </c>
      <c r="B15" s="12" t="s">
        <v>64</v>
      </c>
      <c r="C15" s="13" t="s">
        <v>65</v>
      </c>
      <c r="D15" s="12" t="s">
        <v>94</v>
      </c>
      <c r="E15" s="13" t="s">
        <v>95</v>
      </c>
      <c r="F15" s="12" t="s">
        <v>96</v>
      </c>
      <c r="G15" s="13" t="s">
        <v>97</v>
      </c>
      <c r="H15" s="9"/>
      <c r="I15" s="10">
        <f>IF(H15="","",H15/5)</f>
      </c>
      <c r="J15" s="11">
        <f>IF(H15="","",VLOOKUP(H15,Escala!$A$2:$C$7,3,FALSE))</f>
      </c>
    </row>
    <row r="16" spans="1:10" x14ac:dyDescent="0.25">
      <c r="A16">
        <v>15</v>
      </c>
      <c r="B16" t="s">
        <v>64</v>
      </c>
      <c r="C16" s="8" t="s">
        <v>65</v>
      </c>
      <c r="D16" t="s">
        <v>94</v>
      </c>
      <c r="E16" s="8" t="s">
        <v>95</v>
      </c>
      <c r="F16" t="s">
        <v>98</v>
      </c>
      <c r="G16" s="8" t="s">
        <v>99</v>
      </c>
      <c r="H16" s="9"/>
      <c r="I16" s="10">
        <f>IF(H16="","",H16/5)</f>
      </c>
      <c r="J16" s="11">
        <f>IF(H16="","",VLOOKUP(H16,Escala!$A$2:$C$7,3,FALSE))</f>
      </c>
    </row>
    <row r="17" spans="1:10" x14ac:dyDescent="0.25">
      <c r="A17" s="12">
        <v>16</v>
      </c>
      <c r="B17" s="12" t="s">
        <v>64</v>
      </c>
      <c r="C17" s="13" t="s">
        <v>65</v>
      </c>
      <c r="D17" s="12" t="s">
        <v>94</v>
      </c>
      <c r="E17" s="13" t="s">
        <v>95</v>
      </c>
      <c r="F17" s="12" t="s">
        <v>100</v>
      </c>
      <c r="G17" s="13" t="s">
        <v>101</v>
      </c>
      <c r="H17" s="9"/>
      <c r="I17" s="10">
        <f>IF(H17="","",H17/5)</f>
      </c>
      <c r="J17" s="11">
        <f>IF(H17="","",VLOOKUP(H17,Escala!$A$2:$C$7,3,FALSE))</f>
      </c>
    </row>
    <row r="18" spans="1:10" x14ac:dyDescent="0.25">
      <c r="A18">
        <v>17</v>
      </c>
      <c r="B18" t="s">
        <v>64</v>
      </c>
      <c r="C18" s="8" t="s">
        <v>65</v>
      </c>
      <c r="D18" t="s">
        <v>94</v>
      </c>
      <c r="E18" s="8" t="s">
        <v>95</v>
      </c>
      <c r="F18" t="s">
        <v>102</v>
      </c>
      <c r="G18" s="8" t="s">
        <v>103</v>
      </c>
      <c r="H18" s="9"/>
      <c r="I18" s="10">
        <f>IF(H18="","",H18/5)</f>
      </c>
      <c r="J18" s="11">
        <f>IF(H18="","",VLOOKUP(H18,Escala!$A$2:$C$7,3,FALSE))</f>
      </c>
    </row>
    <row r="19" spans="1:10" x14ac:dyDescent="0.25">
      <c r="A19" s="12">
        <v>18</v>
      </c>
      <c r="B19" s="12" t="s">
        <v>64</v>
      </c>
      <c r="C19" s="13" t="s">
        <v>65</v>
      </c>
      <c r="D19" s="12" t="s">
        <v>94</v>
      </c>
      <c r="E19" s="13" t="s">
        <v>95</v>
      </c>
      <c r="F19" s="12" t="s">
        <v>104</v>
      </c>
      <c r="G19" s="13" t="s">
        <v>105</v>
      </c>
      <c r="H19" s="9"/>
      <c r="I19" s="10">
        <f>IF(H19="","",H19/5)</f>
      </c>
      <c r="J19" s="11">
        <f>IF(H19="","",VLOOKUP(H19,Escala!$A$2:$C$7,3,FALSE))</f>
      </c>
    </row>
    <row r="20" spans="1:10" x14ac:dyDescent="0.25">
      <c r="A20">
        <v>19</v>
      </c>
      <c r="B20" t="s">
        <v>64</v>
      </c>
      <c r="C20" s="8" t="s">
        <v>65</v>
      </c>
      <c r="D20" t="s">
        <v>94</v>
      </c>
      <c r="E20" s="8" t="s">
        <v>95</v>
      </c>
      <c r="F20" t="s">
        <v>106</v>
      </c>
      <c r="G20" s="8" t="s">
        <v>107</v>
      </c>
      <c r="H20" s="9"/>
      <c r="I20" s="10">
        <f>IF(H20="","",H20/5)</f>
      </c>
      <c r="J20" s="11">
        <f>IF(H20="","",VLOOKUP(H20,Escala!$A$2:$C$7,3,FALSE))</f>
      </c>
    </row>
    <row r="21" spans="1:10" x14ac:dyDescent="0.25">
      <c r="A21" s="12">
        <v>20</v>
      </c>
      <c r="B21" s="12" t="s">
        <v>64</v>
      </c>
      <c r="C21" s="13" t="s">
        <v>65</v>
      </c>
      <c r="D21" s="12" t="s">
        <v>94</v>
      </c>
      <c r="E21" s="13" t="s">
        <v>95</v>
      </c>
      <c r="F21" s="12" t="s">
        <v>108</v>
      </c>
      <c r="G21" s="13" t="s">
        <v>109</v>
      </c>
      <c r="H21" s="9"/>
      <c r="I21" s="10">
        <f>IF(H21="","",H21/5)</f>
      </c>
      <c r="J21" s="11">
        <f>IF(H21="","",VLOOKUP(H21,Escala!$A$2:$C$7,3,FALSE))</f>
      </c>
    </row>
    <row r="22" spans="1:10" x14ac:dyDescent="0.25">
      <c r="A22">
        <v>21</v>
      </c>
      <c r="B22" t="s">
        <v>64</v>
      </c>
      <c r="C22" s="8" t="s">
        <v>65</v>
      </c>
      <c r="D22" t="s">
        <v>94</v>
      </c>
      <c r="E22" s="8" t="s">
        <v>95</v>
      </c>
      <c r="F22" t="s">
        <v>110</v>
      </c>
      <c r="G22" s="8" t="s">
        <v>111</v>
      </c>
      <c r="H22" s="9"/>
      <c r="I22" s="10">
        <f>IF(H22="","",H22/5)</f>
      </c>
      <c r="J22" s="11">
        <f>IF(H22="","",VLOOKUP(H22,Escala!$A$2:$C$7,3,FALSE))</f>
      </c>
    </row>
    <row r="23" spans="1:10" x14ac:dyDescent="0.25">
      <c r="A23" s="12">
        <v>22</v>
      </c>
      <c r="B23" s="12" t="s">
        <v>64</v>
      </c>
      <c r="C23" s="13" t="s">
        <v>65</v>
      </c>
      <c r="D23" s="12" t="s">
        <v>94</v>
      </c>
      <c r="E23" s="13" t="s">
        <v>95</v>
      </c>
      <c r="F23" s="12" t="s">
        <v>112</v>
      </c>
      <c r="G23" s="13" t="s">
        <v>113</v>
      </c>
      <c r="H23" s="9"/>
      <c r="I23" s="10">
        <f>IF(H23="","",H23/5)</f>
      </c>
      <c r="J23" s="11">
        <f>IF(H23="","",VLOOKUP(H23,Escala!$A$2:$C$7,3,FALSE))</f>
      </c>
    </row>
    <row r="24" spans="1:10" x14ac:dyDescent="0.25">
      <c r="A24">
        <v>23</v>
      </c>
      <c r="B24" t="s">
        <v>64</v>
      </c>
      <c r="C24" s="8" t="s">
        <v>65</v>
      </c>
      <c r="D24" t="s">
        <v>94</v>
      </c>
      <c r="E24" s="8" t="s">
        <v>95</v>
      </c>
      <c r="F24" t="s">
        <v>114</v>
      </c>
      <c r="G24" s="8" t="s">
        <v>115</v>
      </c>
      <c r="H24" s="9"/>
      <c r="I24" s="10">
        <f>IF(H24="","",H24/5)</f>
      </c>
      <c r="J24" s="11">
        <f>IF(H24="","",VLOOKUP(H24,Escala!$A$2:$C$7,3,FALSE))</f>
      </c>
    </row>
    <row r="25" spans="1:10" x14ac:dyDescent="0.25">
      <c r="A25" s="12">
        <v>24</v>
      </c>
      <c r="B25" s="12" t="s">
        <v>64</v>
      </c>
      <c r="C25" s="13" t="s">
        <v>65</v>
      </c>
      <c r="D25" s="12" t="s">
        <v>94</v>
      </c>
      <c r="E25" s="13" t="s">
        <v>95</v>
      </c>
      <c r="F25" s="12" t="s">
        <v>116</v>
      </c>
      <c r="G25" s="13" t="s">
        <v>117</v>
      </c>
      <c r="H25" s="9"/>
      <c r="I25" s="10">
        <f>IF(H25="","",H25/5)</f>
      </c>
      <c r="J25" s="11">
        <f>IF(H25="","",VLOOKUP(H25,Escala!$A$2:$C$7,3,FALSE))</f>
      </c>
    </row>
    <row r="26" spans="1:10" x14ac:dyDescent="0.25">
      <c r="A26">
        <v>25</v>
      </c>
      <c r="B26" t="s">
        <v>64</v>
      </c>
      <c r="C26" s="8" t="s">
        <v>65</v>
      </c>
      <c r="D26" t="s">
        <v>94</v>
      </c>
      <c r="E26" s="8" t="s">
        <v>95</v>
      </c>
      <c r="F26" t="s">
        <v>118</v>
      </c>
      <c r="G26" s="8" t="s">
        <v>119</v>
      </c>
      <c r="H26" s="9"/>
      <c r="I26" s="10">
        <f>IF(H26="","",H26/5)</f>
      </c>
      <c r="J26" s="11">
        <f>IF(H26="","",VLOOKUP(H26,Escala!$A$2:$C$7,3,FALSE))</f>
      </c>
    </row>
    <row r="27" spans="1:10" x14ac:dyDescent="0.25">
      <c r="A27" s="12">
        <v>26</v>
      </c>
      <c r="B27" s="12" t="s">
        <v>64</v>
      </c>
      <c r="C27" s="13" t="s">
        <v>65</v>
      </c>
      <c r="D27" s="12" t="s">
        <v>94</v>
      </c>
      <c r="E27" s="13" t="s">
        <v>95</v>
      </c>
      <c r="F27" s="12" t="s">
        <v>120</v>
      </c>
      <c r="G27" s="13" t="s">
        <v>121</v>
      </c>
      <c r="H27" s="9"/>
      <c r="I27" s="10">
        <f>IF(H27="","",H27/5)</f>
      </c>
      <c r="J27" s="11">
        <f>IF(H27="","",VLOOKUP(H27,Escala!$A$2:$C$7,3,FALSE))</f>
      </c>
    </row>
    <row r="28" spans="1:10" x14ac:dyDescent="0.25">
      <c r="A28">
        <v>27</v>
      </c>
      <c r="B28" t="s">
        <v>64</v>
      </c>
      <c r="C28" s="8" t="s">
        <v>65</v>
      </c>
      <c r="D28" t="s">
        <v>122</v>
      </c>
      <c r="E28" s="8" t="s">
        <v>123</v>
      </c>
      <c r="F28" t="s">
        <v>124</v>
      </c>
      <c r="G28" s="8" t="s">
        <v>125</v>
      </c>
      <c r="H28" s="9"/>
      <c r="I28" s="10">
        <f>IF(H28="","",H28/5)</f>
      </c>
      <c r="J28" s="11">
        <f>IF(H28="","",VLOOKUP(H28,Escala!$A$2:$C$7,3,FALSE))</f>
      </c>
    </row>
    <row r="29" spans="1:10" x14ac:dyDescent="0.25">
      <c r="A29" s="12">
        <v>28</v>
      </c>
      <c r="B29" s="12" t="s">
        <v>64</v>
      </c>
      <c r="C29" s="13" t="s">
        <v>65</v>
      </c>
      <c r="D29" s="12" t="s">
        <v>122</v>
      </c>
      <c r="E29" s="13" t="s">
        <v>123</v>
      </c>
      <c r="F29" s="12" t="s">
        <v>126</v>
      </c>
      <c r="G29" s="13" t="s">
        <v>127</v>
      </c>
      <c r="H29" s="9"/>
      <c r="I29" s="10">
        <f>IF(H29="","",H29/5)</f>
      </c>
      <c r="J29" s="11">
        <f>IF(H29="","",VLOOKUP(H29,Escala!$A$2:$C$7,3,FALSE))</f>
      </c>
    </row>
    <row r="30" spans="1:10" x14ac:dyDescent="0.25">
      <c r="A30">
        <v>29</v>
      </c>
      <c r="B30" t="s">
        <v>64</v>
      </c>
      <c r="C30" s="8" t="s">
        <v>65</v>
      </c>
      <c r="D30" t="s">
        <v>122</v>
      </c>
      <c r="E30" s="8" t="s">
        <v>123</v>
      </c>
      <c r="F30" t="s">
        <v>128</v>
      </c>
      <c r="G30" s="8" t="s">
        <v>129</v>
      </c>
      <c r="H30" s="9"/>
      <c r="I30" s="10">
        <f>IF(H30="","",H30/5)</f>
      </c>
      <c r="J30" s="11">
        <f>IF(H30="","",VLOOKUP(H30,Escala!$A$2:$C$7,3,FALSE))</f>
      </c>
    </row>
    <row r="31" spans="1:10" x14ac:dyDescent="0.25">
      <c r="A31" s="12">
        <v>30</v>
      </c>
      <c r="B31" s="12" t="s">
        <v>64</v>
      </c>
      <c r="C31" s="13" t="s">
        <v>65</v>
      </c>
      <c r="D31" s="12" t="s">
        <v>122</v>
      </c>
      <c r="E31" s="13" t="s">
        <v>123</v>
      </c>
      <c r="F31" s="12" t="s">
        <v>130</v>
      </c>
      <c r="G31" s="13" t="s">
        <v>131</v>
      </c>
      <c r="H31" s="9"/>
      <c r="I31" s="10">
        <f>IF(H31="","",H31/5)</f>
      </c>
      <c r="J31" s="11">
        <f>IF(H31="","",VLOOKUP(H31,Escala!$A$2:$C$7,3,FALSE))</f>
      </c>
    </row>
    <row r="32" spans="1:10" x14ac:dyDescent="0.25">
      <c r="A32">
        <v>31</v>
      </c>
      <c r="B32" t="s">
        <v>64</v>
      </c>
      <c r="C32" s="8" t="s">
        <v>65</v>
      </c>
      <c r="D32" t="s">
        <v>122</v>
      </c>
      <c r="E32" s="8" t="s">
        <v>123</v>
      </c>
      <c r="F32" t="s">
        <v>132</v>
      </c>
      <c r="G32" s="8" t="s">
        <v>133</v>
      </c>
      <c r="H32" s="9"/>
      <c r="I32" s="10">
        <f>IF(H32="","",H32/5)</f>
      </c>
      <c r="J32" s="11">
        <f>IF(H32="","",VLOOKUP(H32,Escala!$A$2:$C$7,3,FALSE))</f>
      </c>
    </row>
    <row r="33" spans="1:10" x14ac:dyDescent="0.25">
      <c r="A33" s="12">
        <v>32</v>
      </c>
      <c r="B33" s="12" t="s">
        <v>64</v>
      </c>
      <c r="C33" s="13" t="s">
        <v>65</v>
      </c>
      <c r="D33" s="12" t="s">
        <v>122</v>
      </c>
      <c r="E33" s="13" t="s">
        <v>123</v>
      </c>
      <c r="F33" s="12" t="s">
        <v>134</v>
      </c>
      <c r="G33" s="13" t="s">
        <v>135</v>
      </c>
      <c r="H33" s="9"/>
      <c r="I33" s="10">
        <f>IF(H33="","",H33/5)</f>
      </c>
      <c r="J33" s="11">
        <f>IF(H33="","",VLOOKUP(H33,Escala!$A$2:$C$7,3,FALSE))</f>
      </c>
    </row>
    <row r="34" spans="1:10" x14ac:dyDescent="0.25">
      <c r="A34">
        <v>33</v>
      </c>
      <c r="B34" t="s">
        <v>64</v>
      </c>
      <c r="C34" s="8" t="s">
        <v>65</v>
      </c>
      <c r="D34" t="s">
        <v>122</v>
      </c>
      <c r="E34" s="8" t="s">
        <v>123</v>
      </c>
      <c r="F34" t="s">
        <v>136</v>
      </c>
      <c r="G34" s="8" t="s">
        <v>137</v>
      </c>
      <c r="H34" s="9"/>
      <c r="I34" s="10">
        <f>IF(H34="","",H34/5)</f>
      </c>
      <c r="J34" s="11">
        <f>IF(H34="","",VLOOKUP(H34,Escala!$A$2:$C$7,3,FALSE))</f>
      </c>
    </row>
    <row r="35" spans="1:10" x14ac:dyDescent="0.25">
      <c r="A35" s="12">
        <v>34</v>
      </c>
      <c r="B35" s="12" t="s">
        <v>64</v>
      </c>
      <c r="C35" s="13" t="s">
        <v>65</v>
      </c>
      <c r="D35" s="12" t="s">
        <v>122</v>
      </c>
      <c r="E35" s="13" t="s">
        <v>123</v>
      </c>
      <c r="F35" s="12" t="s">
        <v>138</v>
      </c>
      <c r="G35" s="13" t="s">
        <v>139</v>
      </c>
      <c r="H35" s="9"/>
      <c r="I35" s="10">
        <f>IF(H35="","",H35/5)</f>
      </c>
      <c r="J35" s="11">
        <f>IF(H35="","",VLOOKUP(H35,Escala!$A$2:$C$7,3,FALSE))</f>
      </c>
    </row>
    <row r="36" spans="1:10" x14ac:dyDescent="0.25">
      <c r="A36">
        <v>35</v>
      </c>
      <c r="B36" t="s">
        <v>64</v>
      </c>
      <c r="C36" s="8" t="s">
        <v>65</v>
      </c>
      <c r="D36" t="s">
        <v>122</v>
      </c>
      <c r="E36" s="8" t="s">
        <v>123</v>
      </c>
      <c r="F36" t="s">
        <v>140</v>
      </c>
      <c r="G36" s="8" t="s">
        <v>141</v>
      </c>
      <c r="H36" s="9"/>
      <c r="I36" s="10">
        <f>IF(H36="","",H36/5)</f>
      </c>
      <c r="J36" s="11">
        <f>IF(H36="","",VLOOKUP(H36,Escala!$A$2:$C$7,3,FALSE))</f>
      </c>
    </row>
    <row r="37" spans="1:10" x14ac:dyDescent="0.25">
      <c r="A37" s="12">
        <v>36</v>
      </c>
      <c r="B37" s="12" t="s">
        <v>64</v>
      </c>
      <c r="C37" s="13" t="s">
        <v>65</v>
      </c>
      <c r="D37" s="12" t="s">
        <v>122</v>
      </c>
      <c r="E37" s="13" t="s">
        <v>123</v>
      </c>
      <c r="F37" s="12" t="s">
        <v>142</v>
      </c>
      <c r="G37" s="13" t="s">
        <v>143</v>
      </c>
      <c r="H37" s="9"/>
      <c r="I37" s="10">
        <f>IF(H37="","",H37/5)</f>
      </c>
      <c r="J37" s="11">
        <f>IF(H37="","",VLOOKUP(H37,Escala!$A$2:$C$7,3,FALSE))</f>
      </c>
    </row>
    <row r="38" spans="1:10" x14ac:dyDescent="0.25">
      <c r="A38">
        <v>37</v>
      </c>
      <c r="B38" t="s">
        <v>64</v>
      </c>
      <c r="C38" s="8" t="s">
        <v>65</v>
      </c>
      <c r="D38" t="s">
        <v>122</v>
      </c>
      <c r="E38" s="8" t="s">
        <v>123</v>
      </c>
      <c r="F38" t="s">
        <v>144</v>
      </c>
      <c r="G38" s="8" t="s">
        <v>145</v>
      </c>
      <c r="H38" s="9"/>
      <c r="I38" s="10">
        <f>IF(H38="","",H38/5)</f>
      </c>
      <c r="J38" s="11">
        <f>IF(H38="","",VLOOKUP(H38,Escala!$A$2:$C$7,3,FALSE))</f>
      </c>
    </row>
    <row r="39" spans="1:10" x14ac:dyDescent="0.25">
      <c r="A39" s="12">
        <v>38</v>
      </c>
      <c r="B39" s="12" t="s">
        <v>64</v>
      </c>
      <c r="C39" s="13" t="s">
        <v>65</v>
      </c>
      <c r="D39" s="12" t="s">
        <v>122</v>
      </c>
      <c r="E39" s="13" t="s">
        <v>123</v>
      </c>
      <c r="F39" s="12" t="s">
        <v>146</v>
      </c>
      <c r="G39" s="13" t="s">
        <v>147</v>
      </c>
      <c r="H39" s="9"/>
      <c r="I39" s="10">
        <f>IF(H39="","",H39/5)</f>
      </c>
      <c r="J39" s="11">
        <f>IF(H39="","",VLOOKUP(H39,Escala!$A$2:$C$7,3,FALSE))</f>
      </c>
    </row>
    <row r="40" spans="1:10" x14ac:dyDescent="0.25">
      <c r="A40">
        <v>39</v>
      </c>
      <c r="B40" t="s">
        <v>64</v>
      </c>
      <c r="C40" s="8" t="s">
        <v>65</v>
      </c>
      <c r="D40" t="s">
        <v>148</v>
      </c>
      <c r="E40" s="8" t="s">
        <v>149</v>
      </c>
      <c r="F40" t="s">
        <v>150</v>
      </c>
      <c r="G40" s="8" t="s">
        <v>151</v>
      </c>
      <c r="H40" s="9"/>
      <c r="I40" s="10">
        <f>IF(H40="","",H40/5)</f>
      </c>
      <c r="J40" s="11">
        <f>IF(H40="","",VLOOKUP(H40,Escala!$A$2:$C$7,3,FALSE))</f>
      </c>
    </row>
    <row r="41" spans="1:10" x14ac:dyDescent="0.25">
      <c r="A41" s="12">
        <v>40</v>
      </c>
      <c r="B41" s="12" t="s">
        <v>64</v>
      </c>
      <c r="C41" s="13" t="s">
        <v>65</v>
      </c>
      <c r="D41" s="12" t="s">
        <v>148</v>
      </c>
      <c r="E41" s="13" t="s">
        <v>149</v>
      </c>
      <c r="F41" s="12" t="s">
        <v>152</v>
      </c>
      <c r="G41" s="13" t="s">
        <v>153</v>
      </c>
      <c r="H41" s="9"/>
      <c r="I41" s="10">
        <f>IF(H41="","",H41/5)</f>
      </c>
      <c r="J41" s="11">
        <f>IF(H41="","",VLOOKUP(H41,Escala!$A$2:$C$7,3,FALSE))</f>
      </c>
    </row>
    <row r="42" spans="1:10" x14ac:dyDescent="0.25">
      <c r="A42">
        <v>41</v>
      </c>
      <c r="B42" t="s">
        <v>64</v>
      </c>
      <c r="C42" s="8" t="s">
        <v>65</v>
      </c>
      <c r="D42" t="s">
        <v>148</v>
      </c>
      <c r="E42" s="8" t="s">
        <v>149</v>
      </c>
      <c r="F42" t="s">
        <v>154</v>
      </c>
      <c r="G42" s="8" t="s">
        <v>155</v>
      </c>
      <c r="H42" s="9"/>
      <c r="I42" s="10">
        <f>IF(H42="","",H42/5)</f>
      </c>
      <c r="J42" s="11">
        <f>IF(H42="","",VLOOKUP(H42,Escala!$A$2:$C$7,3,FALSE))</f>
      </c>
    </row>
    <row r="43" spans="1:10" x14ac:dyDescent="0.25">
      <c r="A43" s="12">
        <v>42</v>
      </c>
      <c r="B43" s="12" t="s">
        <v>64</v>
      </c>
      <c r="C43" s="13" t="s">
        <v>65</v>
      </c>
      <c r="D43" s="12" t="s">
        <v>148</v>
      </c>
      <c r="E43" s="13" t="s">
        <v>149</v>
      </c>
      <c r="F43" s="12" t="s">
        <v>156</v>
      </c>
      <c r="G43" s="13" t="s">
        <v>157</v>
      </c>
      <c r="H43" s="9"/>
      <c r="I43" s="10">
        <f>IF(H43="","",H43/5)</f>
      </c>
      <c r="J43" s="11">
        <f>IF(H43="","",VLOOKUP(H43,Escala!$A$2:$C$7,3,FALSE))</f>
      </c>
    </row>
    <row r="44" spans="1:10" x14ac:dyDescent="0.25">
      <c r="A44">
        <v>43</v>
      </c>
      <c r="B44" t="s">
        <v>64</v>
      </c>
      <c r="C44" s="8" t="s">
        <v>65</v>
      </c>
      <c r="D44" t="s">
        <v>148</v>
      </c>
      <c r="E44" s="8" t="s">
        <v>149</v>
      </c>
      <c r="F44" t="s">
        <v>158</v>
      </c>
      <c r="G44" s="8" t="s">
        <v>159</v>
      </c>
      <c r="H44" s="9"/>
      <c r="I44" s="10">
        <f>IF(H44="","",H44/5)</f>
      </c>
      <c r="J44" s="11">
        <f>IF(H44="","",VLOOKUP(H44,Escala!$A$2:$C$7,3,FALSE))</f>
      </c>
    </row>
    <row r="45" spans="1:10" x14ac:dyDescent="0.25">
      <c r="A45" s="12">
        <v>44</v>
      </c>
      <c r="B45" s="12" t="s">
        <v>64</v>
      </c>
      <c r="C45" s="13" t="s">
        <v>65</v>
      </c>
      <c r="D45" s="12" t="s">
        <v>148</v>
      </c>
      <c r="E45" s="13" t="s">
        <v>149</v>
      </c>
      <c r="F45" s="12" t="s">
        <v>160</v>
      </c>
      <c r="G45" s="13" t="s">
        <v>161</v>
      </c>
      <c r="H45" s="9"/>
      <c r="I45" s="10">
        <f>IF(H45="","",H45/5)</f>
      </c>
      <c r="J45" s="11">
        <f>IF(H45="","",VLOOKUP(H45,Escala!$A$2:$C$7,3,FALSE))</f>
      </c>
    </row>
    <row r="46" spans="1:10" x14ac:dyDescent="0.25">
      <c r="A46">
        <v>45</v>
      </c>
      <c r="B46" t="s">
        <v>64</v>
      </c>
      <c r="C46" s="8" t="s">
        <v>65</v>
      </c>
      <c r="D46" t="s">
        <v>148</v>
      </c>
      <c r="E46" s="8" t="s">
        <v>149</v>
      </c>
      <c r="F46" t="s">
        <v>162</v>
      </c>
      <c r="G46" s="8" t="s">
        <v>163</v>
      </c>
      <c r="H46" s="9"/>
      <c r="I46" s="10">
        <f>IF(H46="","",H46/5)</f>
      </c>
      <c r="J46" s="11">
        <f>IF(H46="","",VLOOKUP(H46,Escala!$A$2:$C$7,3,FALSE))</f>
      </c>
    </row>
    <row r="47" spans="1:10" x14ac:dyDescent="0.25">
      <c r="A47" s="12">
        <v>46</v>
      </c>
      <c r="B47" s="12" t="s">
        <v>64</v>
      </c>
      <c r="C47" s="13" t="s">
        <v>65</v>
      </c>
      <c r="D47" s="12" t="s">
        <v>148</v>
      </c>
      <c r="E47" s="13" t="s">
        <v>149</v>
      </c>
      <c r="F47" s="12" t="s">
        <v>164</v>
      </c>
      <c r="G47" s="13" t="s">
        <v>165</v>
      </c>
      <c r="H47" s="9"/>
      <c r="I47" s="10">
        <f>IF(H47="","",H47/5)</f>
      </c>
      <c r="J47" s="11">
        <f>IF(H47="","",VLOOKUP(H47,Escala!$A$2:$C$7,3,FALSE))</f>
      </c>
    </row>
    <row r="48" spans="1:10" x14ac:dyDescent="0.25">
      <c r="A48">
        <v>47</v>
      </c>
      <c r="B48" t="s">
        <v>64</v>
      </c>
      <c r="C48" s="8" t="s">
        <v>65</v>
      </c>
      <c r="D48" t="s">
        <v>148</v>
      </c>
      <c r="E48" s="8" t="s">
        <v>149</v>
      </c>
      <c r="F48" t="s">
        <v>166</v>
      </c>
      <c r="G48" s="8" t="s">
        <v>167</v>
      </c>
      <c r="H48" s="9"/>
      <c r="I48" s="10">
        <f>IF(H48="","",H48/5)</f>
      </c>
      <c r="J48" s="11">
        <f>IF(H48="","",VLOOKUP(H48,Escala!$A$2:$C$7,3,FALSE))</f>
      </c>
    </row>
    <row r="49" spans="1:10" x14ac:dyDescent="0.25">
      <c r="A49" s="12">
        <v>48</v>
      </c>
      <c r="B49" s="12" t="s">
        <v>64</v>
      </c>
      <c r="C49" s="13" t="s">
        <v>65</v>
      </c>
      <c r="D49" s="12" t="s">
        <v>148</v>
      </c>
      <c r="E49" s="13" t="s">
        <v>149</v>
      </c>
      <c r="F49" s="12" t="s">
        <v>168</v>
      </c>
      <c r="G49" s="13" t="s">
        <v>169</v>
      </c>
      <c r="H49" s="9"/>
      <c r="I49" s="10">
        <f>IF(H49="","",H49/5)</f>
      </c>
      <c r="J49" s="11">
        <f>IF(H49="","",VLOOKUP(H49,Escala!$A$2:$C$7,3,FALSE))</f>
      </c>
    </row>
    <row r="50" spans="1:10" x14ac:dyDescent="0.25">
      <c r="A50">
        <v>49</v>
      </c>
      <c r="B50" t="s">
        <v>64</v>
      </c>
      <c r="C50" s="8" t="s">
        <v>65</v>
      </c>
      <c r="D50" t="s">
        <v>148</v>
      </c>
      <c r="E50" s="8" t="s">
        <v>149</v>
      </c>
      <c r="F50" t="s">
        <v>170</v>
      </c>
      <c r="G50" s="8" t="s">
        <v>171</v>
      </c>
      <c r="H50" s="9"/>
      <c r="I50" s="10">
        <f>IF(H50="","",H50/5)</f>
      </c>
      <c r="J50" s="11">
        <f>IF(H50="","",VLOOKUP(H50,Escala!$A$2:$C$7,3,FALSE))</f>
      </c>
    </row>
    <row r="51" spans="1:10" x14ac:dyDescent="0.25">
      <c r="A51" s="12">
        <v>50</v>
      </c>
      <c r="B51" s="12" t="s">
        <v>64</v>
      </c>
      <c r="C51" s="13" t="s">
        <v>65</v>
      </c>
      <c r="D51" s="12" t="s">
        <v>148</v>
      </c>
      <c r="E51" s="13" t="s">
        <v>149</v>
      </c>
      <c r="F51" s="12" t="s">
        <v>172</v>
      </c>
      <c r="G51" s="13" t="s">
        <v>173</v>
      </c>
      <c r="H51" s="9"/>
      <c r="I51" s="10">
        <f>IF(H51="","",H51/5)</f>
      </c>
      <c r="J51" s="11">
        <f>IF(H51="","",VLOOKUP(H51,Escala!$A$2:$C$7,3,FALSE))</f>
      </c>
    </row>
    <row r="52" spans="1:10" x14ac:dyDescent="0.25">
      <c r="A52">
        <v>51</v>
      </c>
      <c r="B52" t="s">
        <v>64</v>
      </c>
      <c r="C52" s="8" t="s">
        <v>65</v>
      </c>
      <c r="D52" t="s">
        <v>148</v>
      </c>
      <c r="E52" s="8" t="s">
        <v>149</v>
      </c>
      <c r="F52" t="s">
        <v>174</v>
      </c>
      <c r="G52" s="8" t="s">
        <v>175</v>
      </c>
      <c r="H52" s="9"/>
      <c r="I52" s="10">
        <f>IF(H52="","",H52/5)</f>
      </c>
      <c r="J52" s="11">
        <f>IF(H52="","",VLOOKUP(H52,Escala!$A$2:$C$7,3,FALSE))</f>
      </c>
    </row>
    <row r="53" spans="1:10" x14ac:dyDescent="0.25">
      <c r="A53" s="12">
        <v>52</v>
      </c>
      <c r="B53" s="12" t="s">
        <v>64</v>
      </c>
      <c r="C53" s="13" t="s">
        <v>65</v>
      </c>
      <c r="D53" s="12" t="s">
        <v>148</v>
      </c>
      <c r="E53" s="13" t="s">
        <v>149</v>
      </c>
      <c r="F53" s="12" t="s">
        <v>176</v>
      </c>
      <c r="G53" s="13" t="s">
        <v>177</v>
      </c>
      <c r="H53" s="9"/>
      <c r="I53" s="10">
        <f>IF(H53="","",H53/5)</f>
      </c>
      <c r="J53" s="11">
        <f>IF(H53="","",VLOOKUP(H53,Escala!$A$2:$C$7,3,FALSE))</f>
      </c>
    </row>
    <row r="54" spans="1:10" x14ac:dyDescent="0.25">
      <c r="A54">
        <v>53</v>
      </c>
      <c r="B54" t="s">
        <v>64</v>
      </c>
      <c r="C54" s="8" t="s">
        <v>65</v>
      </c>
      <c r="D54" t="s">
        <v>148</v>
      </c>
      <c r="E54" s="8" t="s">
        <v>149</v>
      </c>
      <c r="F54" t="s">
        <v>178</v>
      </c>
      <c r="G54" s="8" t="s">
        <v>179</v>
      </c>
      <c r="H54" s="9"/>
      <c r="I54" s="10">
        <f>IF(H54="","",H54/5)</f>
      </c>
      <c r="J54" s="11">
        <f>IF(H54="","",VLOOKUP(H54,Escala!$A$2:$C$7,3,FALSE))</f>
      </c>
    </row>
    <row r="55" spans="1:10" x14ac:dyDescent="0.25">
      <c r="A55" s="12">
        <v>54</v>
      </c>
      <c r="B55" s="12" t="s">
        <v>64</v>
      </c>
      <c r="C55" s="13" t="s">
        <v>65</v>
      </c>
      <c r="D55" s="12" t="s">
        <v>148</v>
      </c>
      <c r="E55" s="13" t="s">
        <v>149</v>
      </c>
      <c r="F55" s="12" t="s">
        <v>180</v>
      </c>
      <c r="G55" s="13" t="s">
        <v>181</v>
      </c>
      <c r="H55" s="9"/>
      <c r="I55" s="10">
        <f>IF(H55="","",H55/5)</f>
      </c>
      <c r="J55" s="11">
        <f>IF(H55="","",VLOOKUP(H55,Escala!$A$2:$C$7,3,FALSE))</f>
      </c>
    </row>
    <row r="56" spans="1:10" x14ac:dyDescent="0.25">
      <c r="A56">
        <v>55</v>
      </c>
      <c r="B56" t="s">
        <v>182</v>
      </c>
      <c r="C56" s="8" t="s">
        <v>183</v>
      </c>
      <c r="D56" t="s">
        <v>184</v>
      </c>
      <c r="E56" s="8" t="s">
        <v>185</v>
      </c>
      <c r="F56" t="s">
        <v>186</v>
      </c>
      <c r="G56" s="8" t="s">
        <v>187</v>
      </c>
      <c r="H56" s="9"/>
      <c r="I56" s="10">
        <f>IF(H56="","",H56/5)</f>
      </c>
      <c r="J56" s="11">
        <f>IF(H56="","",VLOOKUP(H56,Escala!$A$2:$C$7,3,FALSE))</f>
      </c>
    </row>
    <row r="57" spans="1:10" x14ac:dyDescent="0.25">
      <c r="A57" s="12">
        <v>56</v>
      </c>
      <c r="B57" s="12" t="s">
        <v>182</v>
      </c>
      <c r="C57" s="13" t="s">
        <v>183</v>
      </c>
      <c r="D57" s="12" t="s">
        <v>184</v>
      </c>
      <c r="E57" s="13" t="s">
        <v>185</v>
      </c>
      <c r="F57" s="12" t="s">
        <v>188</v>
      </c>
      <c r="G57" s="13" t="s">
        <v>189</v>
      </c>
      <c r="H57" s="9"/>
      <c r="I57" s="10">
        <f>IF(H57="","",H57/5)</f>
      </c>
      <c r="J57" s="11">
        <f>IF(H57="","",VLOOKUP(H57,Escala!$A$2:$C$7,3,FALSE))</f>
      </c>
    </row>
    <row r="58" spans="1:10" x14ac:dyDescent="0.25">
      <c r="A58">
        <v>57</v>
      </c>
      <c r="B58" t="s">
        <v>182</v>
      </c>
      <c r="C58" s="8" t="s">
        <v>183</v>
      </c>
      <c r="D58" t="s">
        <v>184</v>
      </c>
      <c r="E58" s="8" t="s">
        <v>185</v>
      </c>
      <c r="F58" t="s">
        <v>190</v>
      </c>
      <c r="G58" s="8" t="s">
        <v>191</v>
      </c>
      <c r="H58" s="9"/>
      <c r="I58" s="10">
        <f>IF(H58="","",H58/5)</f>
      </c>
      <c r="J58" s="11">
        <f>IF(H58="","",VLOOKUP(H58,Escala!$A$2:$C$7,3,FALSE))</f>
      </c>
    </row>
    <row r="59" spans="1:10" x14ac:dyDescent="0.25">
      <c r="A59" s="12">
        <v>58</v>
      </c>
      <c r="B59" s="12" t="s">
        <v>182</v>
      </c>
      <c r="C59" s="13" t="s">
        <v>183</v>
      </c>
      <c r="D59" s="12" t="s">
        <v>184</v>
      </c>
      <c r="E59" s="13" t="s">
        <v>185</v>
      </c>
      <c r="F59" s="12" t="s">
        <v>192</v>
      </c>
      <c r="G59" s="13" t="s">
        <v>193</v>
      </c>
      <c r="H59" s="9"/>
      <c r="I59" s="10">
        <f>IF(H59="","",H59/5)</f>
      </c>
      <c r="J59" s="11">
        <f>IF(H59="","",VLOOKUP(H59,Escala!$A$2:$C$7,3,FALSE))</f>
      </c>
    </row>
    <row r="60" spans="1:10" x14ac:dyDescent="0.25">
      <c r="A60">
        <v>59</v>
      </c>
      <c r="B60" t="s">
        <v>182</v>
      </c>
      <c r="C60" s="8" t="s">
        <v>183</v>
      </c>
      <c r="D60" t="s">
        <v>184</v>
      </c>
      <c r="E60" s="8" t="s">
        <v>185</v>
      </c>
      <c r="F60" t="s">
        <v>194</v>
      </c>
      <c r="G60" s="8" t="s">
        <v>195</v>
      </c>
      <c r="H60" s="9"/>
      <c r="I60" s="10">
        <f>IF(H60="","",H60/5)</f>
      </c>
      <c r="J60" s="11">
        <f>IF(H60="","",VLOOKUP(H60,Escala!$A$2:$C$7,3,FALSE))</f>
      </c>
    </row>
    <row r="61" spans="1:10" x14ac:dyDescent="0.25">
      <c r="A61" s="12">
        <v>60</v>
      </c>
      <c r="B61" s="12" t="s">
        <v>182</v>
      </c>
      <c r="C61" s="13" t="s">
        <v>183</v>
      </c>
      <c r="D61" s="12" t="s">
        <v>184</v>
      </c>
      <c r="E61" s="13" t="s">
        <v>185</v>
      </c>
      <c r="F61" s="12" t="s">
        <v>196</v>
      </c>
      <c r="G61" s="13" t="s">
        <v>197</v>
      </c>
      <c r="H61" s="9"/>
      <c r="I61" s="10">
        <f>IF(H61="","",H61/5)</f>
      </c>
      <c r="J61" s="11">
        <f>IF(H61="","",VLOOKUP(H61,Escala!$A$2:$C$7,3,FALSE))</f>
      </c>
    </row>
    <row r="62" spans="1:10" x14ac:dyDescent="0.25">
      <c r="A62">
        <v>61</v>
      </c>
      <c r="B62" t="s">
        <v>182</v>
      </c>
      <c r="C62" s="8" t="s">
        <v>183</v>
      </c>
      <c r="D62" t="s">
        <v>184</v>
      </c>
      <c r="E62" s="8" t="s">
        <v>185</v>
      </c>
      <c r="F62" t="s">
        <v>198</v>
      </c>
      <c r="G62" s="8" t="s">
        <v>199</v>
      </c>
      <c r="H62" s="9"/>
      <c r="I62" s="10">
        <f>IF(H62="","",H62/5)</f>
      </c>
      <c r="J62" s="11">
        <f>IF(H62="","",VLOOKUP(H62,Escala!$A$2:$C$7,3,FALSE))</f>
      </c>
    </row>
    <row r="63" spans="1:10" x14ac:dyDescent="0.25">
      <c r="A63" s="12">
        <v>62</v>
      </c>
      <c r="B63" s="12" t="s">
        <v>182</v>
      </c>
      <c r="C63" s="13" t="s">
        <v>183</v>
      </c>
      <c r="D63" s="12" t="s">
        <v>184</v>
      </c>
      <c r="E63" s="13" t="s">
        <v>185</v>
      </c>
      <c r="F63" s="12" t="s">
        <v>200</v>
      </c>
      <c r="G63" s="13" t="s">
        <v>201</v>
      </c>
      <c r="H63" s="9"/>
      <c r="I63" s="10">
        <f>IF(H63="","",H63/5)</f>
      </c>
      <c r="J63" s="11">
        <f>IF(H63="","",VLOOKUP(H63,Escala!$A$2:$C$7,3,FALSE))</f>
      </c>
    </row>
    <row r="64" spans="1:10" x14ac:dyDescent="0.25">
      <c r="A64">
        <v>63</v>
      </c>
      <c r="B64" t="s">
        <v>182</v>
      </c>
      <c r="C64" s="8" t="s">
        <v>183</v>
      </c>
      <c r="D64" t="s">
        <v>184</v>
      </c>
      <c r="E64" s="8" t="s">
        <v>185</v>
      </c>
      <c r="F64" t="s">
        <v>202</v>
      </c>
      <c r="G64" s="8" t="s">
        <v>203</v>
      </c>
      <c r="H64" s="9"/>
      <c r="I64" s="10">
        <f>IF(H64="","",H64/5)</f>
      </c>
      <c r="J64" s="11">
        <f>IF(H64="","",VLOOKUP(H64,Escala!$A$2:$C$7,3,FALSE))</f>
      </c>
    </row>
    <row r="65" spans="1:10" x14ac:dyDescent="0.25">
      <c r="A65" s="12">
        <v>64</v>
      </c>
      <c r="B65" s="12" t="s">
        <v>182</v>
      </c>
      <c r="C65" s="13" t="s">
        <v>183</v>
      </c>
      <c r="D65" s="12" t="s">
        <v>184</v>
      </c>
      <c r="E65" s="13" t="s">
        <v>185</v>
      </c>
      <c r="F65" s="12" t="s">
        <v>204</v>
      </c>
      <c r="G65" s="13" t="s">
        <v>205</v>
      </c>
      <c r="H65" s="9"/>
      <c r="I65" s="10">
        <f>IF(H65="","",H65/5)</f>
      </c>
      <c r="J65" s="11">
        <f>IF(H65="","",VLOOKUP(H65,Escala!$A$2:$C$7,3,FALSE))</f>
      </c>
    </row>
    <row r="66" spans="1:10" x14ac:dyDescent="0.25">
      <c r="A66">
        <v>65</v>
      </c>
      <c r="B66" t="s">
        <v>182</v>
      </c>
      <c r="C66" s="8" t="s">
        <v>183</v>
      </c>
      <c r="D66" t="s">
        <v>184</v>
      </c>
      <c r="E66" s="8" t="s">
        <v>185</v>
      </c>
      <c r="F66" t="s">
        <v>206</v>
      </c>
      <c r="G66" s="8" t="s">
        <v>207</v>
      </c>
      <c r="H66" s="9"/>
      <c r="I66" s="10">
        <f>IF(H66="","",H66/5)</f>
      </c>
      <c r="J66" s="11">
        <f>IF(H66="","",VLOOKUP(H66,Escala!$A$2:$C$7,3,FALSE))</f>
      </c>
    </row>
    <row r="67" spans="1:10" x14ac:dyDescent="0.25">
      <c r="A67" s="12">
        <v>66</v>
      </c>
      <c r="B67" s="12" t="s">
        <v>182</v>
      </c>
      <c r="C67" s="13" t="s">
        <v>183</v>
      </c>
      <c r="D67" s="12" t="s">
        <v>184</v>
      </c>
      <c r="E67" s="13" t="s">
        <v>185</v>
      </c>
      <c r="F67" s="12" t="s">
        <v>208</v>
      </c>
      <c r="G67" s="13" t="s">
        <v>209</v>
      </c>
      <c r="H67" s="9"/>
      <c r="I67" s="10">
        <f>IF(H67="","",H67/5)</f>
      </c>
      <c r="J67" s="11">
        <f>IF(H67="","",VLOOKUP(H67,Escala!$A$2:$C$7,3,FALSE))</f>
      </c>
    </row>
    <row r="68" spans="1:10" x14ac:dyDescent="0.25">
      <c r="A68">
        <v>67</v>
      </c>
      <c r="B68" t="s">
        <v>182</v>
      </c>
      <c r="C68" s="8" t="s">
        <v>183</v>
      </c>
      <c r="D68" t="s">
        <v>184</v>
      </c>
      <c r="E68" s="8" t="s">
        <v>185</v>
      </c>
      <c r="F68" t="s">
        <v>210</v>
      </c>
      <c r="G68" s="8" t="s">
        <v>211</v>
      </c>
      <c r="H68" s="9"/>
      <c r="I68" s="10">
        <f>IF(H68="","",H68/5)</f>
      </c>
      <c r="J68" s="11">
        <f>IF(H68="","",VLOOKUP(H68,Escala!$A$2:$C$7,3,FALSE))</f>
      </c>
    </row>
    <row r="69" spans="1:10" x14ac:dyDescent="0.25">
      <c r="A69" s="12">
        <v>68</v>
      </c>
      <c r="B69" s="12" t="s">
        <v>182</v>
      </c>
      <c r="C69" s="13" t="s">
        <v>183</v>
      </c>
      <c r="D69" s="12" t="s">
        <v>184</v>
      </c>
      <c r="E69" s="13" t="s">
        <v>185</v>
      </c>
      <c r="F69" s="12" t="s">
        <v>212</v>
      </c>
      <c r="G69" s="13" t="s">
        <v>213</v>
      </c>
      <c r="H69" s="9"/>
      <c r="I69" s="10">
        <f>IF(H69="","",H69/5)</f>
      </c>
      <c r="J69" s="11">
        <f>IF(H69="","",VLOOKUP(H69,Escala!$A$2:$C$7,3,FALSE))</f>
      </c>
    </row>
    <row r="70" spans="1:10" x14ac:dyDescent="0.25">
      <c r="A70">
        <v>69</v>
      </c>
      <c r="B70" t="s">
        <v>182</v>
      </c>
      <c r="C70" s="8" t="s">
        <v>183</v>
      </c>
      <c r="D70" t="s">
        <v>184</v>
      </c>
      <c r="E70" s="8" t="s">
        <v>185</v>
      </c>
      <c r="F70" t="s">
        <v>214</v>
      </c>
      <c r="G70" s="8" t="s">
        <v>215</v>
      </c>
      <c r="H70" s="9"/>
      <c r="I70" s="10">
        <f>IF(H70="","",H70/5)</f>
      </c>
      <c r="J70" s="11">
        <f>IF(H70="","",VLOOKUP(H70,Escala!$A$2:$C$7,3,FALSE))</f>
      </c>
    </row>
    <row r="71" spans="1:10" x14ac:dyDescent="0.25">
      <c r="A71" s="12">
        <v>70</v>
      </c>
      <c r="B71" s="12" t="s">
        <v>182</v>
      </c>
      <c r="C71" s="13" t="s">
        <v>183</v>
      </c>
      <c r="D71" s="12" t="s">
        <v>184</v>
      </c>
      <c r="E71" s="13" t="s">
        <v>185</v>
      </c>
      <c r="F71" s="12" t="s">
        <v>216</v>
      </c>
      <c r="G71" s="13" t="s">
        <v>217</v>
      </c>
      <c r="H71" s="9"/>
      <c r="I71" s="10">
        <f>IF(H71="","",H71/5)</f>
      </c>
      <c r="J71" s="11">
        <f>IF(H71="","",VLOOKUP(H71,Escala!$A$2:$C$7,3,FALSE))</f>
      </c>
    </row>
    <row r="72" spans="1:10" x14ac:dyDescent="0.25">
      <c r="A72">
        <v>71</v>
      </c>
      <c r="B72" t="s">
        <v>182</v>
      </c>
      <c r="C72" s="8" t="s">
        <v>183</v>
      </c>
      <c r="D72" t="s">
        <v>184</v>
      </c>
      <c r="E72" s="8" t="s">
        <v>185</v>
      </c>
      <c r="F72" t="s">
        <v>218</v>
      </c>
      <c r="G72" s="8" t="s">
        <v>219</v>
      </c>
      <c r="H72" s="9"/>
      <c r="I72" s="10">
        <f>IF(H72="","",H72/5)</f>
      </c>
      <c r="J72" s="11">
        <f>IF(H72="","",VLOOKUP(H72,Escala!$A$2:$C$7,3,FALSE))</f>
      </c>
    </row>
    <row r="73" spans="1:10" x14ac:dyDescent="0.25">
      <c r="A73" s="12">
        <v>72</v>
      </c>
      <c r="B73" s="12" t="s">
        <v>182</v>
      </c>
      <c r="C73" s="13" t="s">
        <v>183</v>
      </c>
      <c r="D73" s="12" t="s">
        <v>184</v>
      </c>
      <c r="E73" s="13" t="s">
        <v>185</v>
      </c>
      <c r="F73" s="12" t="s">
        <v>220</v>
      </c>
      <c r="G73" s="13" t="s">
        <v>221</v>
      </c>
      <c r="H73" s="9"/>
      <c r="I73" s="10">
        <f>IF(H73="","",H73/5)</f>
      </c>
      <c r="J73" s="11">
        <f>IF(H73="","",VLOOKUP(H73,Escala!$A$2:$C$7,3,FALSE))</f>
      </c>
    </row>
    <row r="74" spans="1:10" x14ac:dyDescent="0.25">
      <c r="A74">
        <v>73</v>
      </c>
      <c r="B74" t="s">
        <v>182</v>
      </c>
      <c r="C74" s="8" t="s">
        <v>183</v>
      </c>
      <c r="D74" t="s">
        <v>184</v>
      </c>
      <c r="E74" s="8" t="s">
        <v>185</v>
      </c>
      <c r="F74" t="s">
        <v>222</v>
      </c>
      <c r="G74" s="8" t="s">
        <v>223</v>
      </c>
      <c r="H74" s="9"/>
      <c r="I74" s="10">
        <f>IF(H74="","",H74/5)</f>
      </c>
      <c r="J74" s="11">
        <f>IF(H74="","",VLOOKUP(H74,Escala!$A$2:$C$7,3,FALSE))</f>
      </c>
    </row>
    <row r="75" spans="1:10" x14ac:dyDescent="0.25">
      <c r="A75" s="12">
        <v>74</v>
      </c>
      <c r="B75" s="12" t="s">
        <v>182</v>
      </c>
      <c r="C75" s="13" t="s">
        <v>183</v>
      </c>
      <c r="D75" s="12" t="s">
        <v>184</v>
      </c>
      <c r="E75" s="13" t="s">
        <v>185</v>
      </c>
      <c r="F75" s="12" t="s">
        <v>224</v>
      </c>
      <c r="G75" s="13" t="s">
        <v>225</v>
      </c>
      <c r="H75" s="9"/>
      <c r="I75" s="10">
        <f>IF(H75="","",H75/5)</f>
      </c>
      <c r="J75" s="11">
        <f>IF(H75="","",VLOOKUP(H75,Escala!$A$2:$C$7,3,FALSE))</f>
      </c>
    </row>
    <row r="76" spans="1:10" x14ac:dyDescent="0.25">
      <c r="A76">
        <v>75</v>
      </c>
      <c r="B76" t="s">
        <v>182</v>
      </c>
      <c r="C76" s="8" t="s">
        <v>183</v>
      </c>
      <c r="D76" t="s">
        <v>184</v>
      </c>
      <c r="E76" s="8" t="s">
        <v>185</v>
      </c>
      <c r="F76" t="s">
        <v>226</v>
      </c>
      <c r="G76" s="8" t="s">
        <v>227</v>
      </c>
      <c r="H76" s="9"/>
      <c r="I76" s="10">
        <f>IF(H76="","",H76/5)</f>
      </c>
      <c r="J76" s="11">
        <f>IF(H76="","",VLOOKUP(H76,Escala!$A$2:$C$7,3,FALSE))</f>
      </c>
    </row>
    <row r="77" spans="1:10" x14ac:dyDescent="0.25">
      <c r="A77" s="12">
        <v>76</v>
      </c>
      <c r="B77" s="12" t="s">
        <v>182</v>
      </c>
      <c r="C77" s="13" t="s">
        <v>183</v>
      </c>
      <c r="D77" s="12" t="s">
        <v>184</v>
      </c>
      <c r="E77" s="13" t="s">
        <v>185</v>
      </c>
      <c r="F77" s="12" t="s">
        <v>228</v>
      </c>
      <c r="G77" s="13" t="s">
        <v>229</v>
      </c>
      <c r="H77" s="9"/>
      <c r="I77" s="10">
        <f>IF(H77="","",H77/5)</f>
      </c>
      <c r="J77" s="11">
        <f>IF(H77="","",VLOOKUP(H77,Escala!$A$2:$C$7,3,FALSE))</f>
      </c>
    </row>
    <row r="78" spans="1:10" x14ac:dyDescent="0.25">
      <c r="A78">
        <v>77</v>
      </c>
      <c r="B78" t="s">
        <v>182</v>
      </c>
      <c r="C78" s="8" t="s">
        <v>183</v>
      </c>
      <c r="D78" t="s">
        <v>184</v>
      </c>
      <c r="E78" s="8" t="s">
        <v>185</v>
      </c>
      <c r="F78" t="s">
        <v>230</v>
      </c>
      <c r="G78" s="8" t="s">
        <v>231</v>
      </c>
      <c r="H78" s="9"/>
      <c r="I78" s="10">
        <f>IF(H78="","",H78/5)</f>
      </c>
      <c r="J78" s="11">
        <f>IF(H78="","",VLOOKUP(H78,Escala!$A$2:$C$7,3,FALSE))</f>
      </c>
    </row>
    <row r="79" spans="1:10" x14ac:dyDescent="0.25">
      <c r="A79" s="12">
        <v>78</v>
      </c>
      <c r="B79" s="12" t="s">
        <v>182</v>
      </c>
      <c r="C79" s="13" t="s">
        <v>183</v>
      </c>
      <c r="D79" s="12" t="s">
        <v>184</v>
      </c>
      <c r="E79" s="13" t="s">
        <v>185</v>
      </c>
      <c r="F79" s="12" t="s">
        <v>232</v>
      </c>
      <c r="G79" s="13" t="s">
        <v>233</v>
      </c>
      <c r="H79" s="9"/>
      <c r="I79" s="10">
        <f>IF(H79="","",H79/5)</f>
      </c>
      <c r="J79" s="11">
        <f>IF(H79="","",VLOOKUP(H79,Escala!$A$2:$C$7,3,FALSE))</f>
      </c>
    </row>
    <row r="80" spans="1:10" x14ac:dyDescent="0.25">
      <c r="A80">
        <v>79</v>
      </c>
      <c r="B80" t="s">
        <v>182</v>
      </c>
      <c r="C80" s="8" t="s">
        <v>183</v>
      </c>
      <c r="D80" t="s">
        <v>184</v>
      </c>
      <c r="E80" s="8" t="s">
        <v>185</v>
      </c>
      <c r="F80" t="s">
        <v>234</v>
      </c>
      <c r="G80" s="8" t="s">
        <v>235</v>
      </c>
      <c r="H80" s="9"/>
      <c r="I80" s="10">
        <f>IF(H80="","",H80/5)</f>
      </c>
      <c r="J80" s="11">
        <f>IF(H80="","",VLOOKUP(H80,Escala!$A$2:$C$7,3,FALSE))</f>
      </c>
    </row>
    <row r="81" spans="1:10" x14ac:dyDescent="0.25">
      <c r="A81" s="12">
        <v>80</v>
      </c>
      <c r="B81" s="12" t="s">
        <v>182</v>
      </c>
      <c r="C81" s="13" t="s">
        <v>183</v>
      </c>
      <c r="D81" s="12" t="s">
        <v>184</v>
      </c>
      <c r="E81" s="13" t="s">
        <v>185</v>
      </c>
      <c r="F81" s="12" t="s">
        <v>236</v>
      </c>
      <c r="G81" s="13" t="s">
        <v>237</v>
      </c>
      <c r="H81" s="9"/>
      <c r="I81" s="10">
        <f>IF(H81="","",H81/5)</f>
      </c>
      <c r="J81" s="11">
        <f>IF(H81="","",VLOOKUP(H81,Escala!$A$2:$C$7,3,FALSE))</f>
      </c>
    </row>
    <row r="82" spans="1:10" x14ac:dyDescent="0.25">
      <c r="A82">
        <v>81</v>
      </c>
      <c r="B82" t="s">
        <v>182</v>
      </c>
      <c r="C82" s="8" t="s">
        <v>183</v>
      </c>
      <c r="D82" t="s">
        <v>184</v>
      </c>
      <c r="E82" s="8" t="s">
        <v>185</v>
      </c>
      <c r="F82" t="s">
        <v>238</v>
      </c>
      <c r="G82" s="8" t="s">
        <v>239</v>
      </c>
      <c r="H82" s="9"/>
      <c r="I82" s="10">
        <f>IF(H82="","",H82/5)</f>
      </c>
      <c r="J82" s="11">
        <f>IF(H82="","",VLOOKUP(H82,Escala!$A$2:$C$7,3,FALSE))</f>
      </c>
    </row>
    <row r="83" spans="1:10" x14ac:dyDescent="0.25">
      <c r="A83" s="12">
        <v>82</v>
      </c>
      <c r="B83" s="12" t="s">
        <v>182</v>
      </c>
      <c r="C83" s="13" t="s">
        <v>183</v>
      </c>
      <c r="D83" s="12" t="s">
        <v>184</v>
      </c>
      <c r="E83" s="13" t="s">
        <v>185</v>
      </c>
      <c r="F83" s="12" t="s">
        <v>240</v>
      </c>
      <c r="G83" s="13" t="s">
        <v>241</v>
      </c>
      <c r="H83" s="9"/>
      <c r="I83" s="10">
        <f>IF(H83="","",H83/5)</f>
      </c>
      <c r="J83" s="11">
        <f>IF(H83="","",VLOOKUP(H83,Escala!$A$2:$C$7,3,FALSE))</f>
      </c>
    </row>
    <row r="84" spans="1:10" x14ac:dyDescent="0.25">
      <c r="A84">
        <v>83</v>
      </c>
      <c r="B84" t="s">
        <v>182</v>
      </c>
      <c r="C84" s="8" t="s">
        <v>183</v>
      </c>
      <c r="D84" t="s">
        <v>184</v>
      </c>
      <c r="E84" s="8" t="s">
        <v>185</v>
      </c>
      <c r="F84" t="s">
        <v>242</v>
      </c>
      <c r="G84" s="8" t="s">
        <v>243</v>
      </c>
      <c r="H84" s="9"/>
      <c r="I84" s="10">
        <f>IF(H84="","",H84/5)</f>
      </c>
      <c r="J84" s="11">
        <f>IF(H84="","",VLOOKUP(H84,Escala!$A$2:$C$7,3,FALSE))</f>
      </c>
    </row>
    <row r="85" spans="1:10" x14ac:dyDescent="0.25">
      <c r="A85" s="12">
        <v>84</v>
      </c>
      <c r="B85" s="12" t="s">
        <v>182</v>
      </c>
      <c r="C85" s="13" t="s">
        <v>183</v>
      </c>
      <c r="D85" s="12" t="s">
        <v>184</v>
      </c>
      <c r="E85" s="13" t="s">
        <v>185</v>
      </c>
      <c r="F85" s="12" t="s">
        <v>244</v>
      </c>
      <c r="G85" s="13" t="s">
        <v>245</v>
      </c>
      <c r="H85" s="9"/>
      <c r="I85" s="10">
        <f>IF(H85="","",H85/5)</f>
      </c>
      <c r="J85" s="11">
        <f>IF(H85="","",VLOOKUP(H85,Escala!$A$2:$C$7,3,FALSE))</f>
      </c>
    </row>
    <row r="86" spans="1:10" x14ac:dyDescent="0.25">
      <c r="A86">
        <v>85</v>
      </c>
      <c r="B86" t="s">
        <v>182</v>
      </c>
      <c r="C86" s="8" t="s">
        <v>183</v>
      </c>
      <c r="D86" t="s">
        <v>246</v>
      </c>
      <c r="E86" s="8" t="s">
        <v>247</v>
      </c>
      <c r="F86" t="s">
        <v>248</v>
      </c>
      <c r="G86" s="8" t="s">
        <v>249</v>
      </c>
      <c r="H86" s="9"/>
      <c r="I86" s="10">
        <f>IF(H86="","",H86/5)</f>
      </c>
      <c r="J86" s="11">
        <f>IF(H86="","",VLOOKUP(H86,Escala!$A$2:$C$7,3,FALSE))</f>
      </c>
    </row>
    <row r="87" spans="1:10" x14ac:dyDescent="0.25">
      <c r="A87" s="12">
        <v>86</v>
      </c>
      <c r="B87" s="12" t="s">
        <v>182</v>
      </c>
      <c r="C87" s="13" t="s">
        <v>183</v>
      </c>
      <c r="D87" s="12" t="s">
        <v>246</v>
      </c>
      <c r="E87" s="13" t="s">
        <v>247</v>
      </c>
      <c r="F87" s="12" t="s">
        <v>250</v>
      </c>
      <c r="G87" s="13" t="s">
        <v>251</v>
      </c>
      <c r="H87" s="9"/>
      <c r="I87" s="10">
        <f>IF(H87="","",H87/5)</f>
      </c>
      <c r="J87" s="11">
        <f>IF(H87="","",VLOOKUP(H87,Escala!$A$2:$C$7,3,FALSE))</f>
      </c>
    </row>
    <row r="88" spans="1:10" x14ac:dyDescent="0.25">
      <c r="A88">
        <v>87</v>
      </c>
      <c r="B88" t="s">
        <v>182</v>
      </c>
      <c r="C88" s="8" t="s">
        <v>183</v>
      </c>
      <c r="D88" t="s">
        <v>246</v>
      </c>
      <c r="E88" s="8" t="s">
        <v>247</v>
      </c>
      <c r="F88" t="s">
        <v>252</v>
      </c>
      <c r="G88" s="8" t="s">
        <v>253</v>
      </c>
      <c r="H88" s="9"/>
      <c r="I88" s="10">
        <f>IF(H88="","",H88/5)</f>
      </c>
      <c r="J88" s="11">
        <f>IF(H88="","",VLOOKUP(H88,Escala!$A$2:$C$7,3,FALSE))</f>
      </c>
    </row>
    <row r="89" spans="1:10" x14ac:dyDescent="0.25">
      <c r="A89" s="12">
        <v>88</v>
      </c>
      <c r="B89" s="12" t="s">
        <v>182</v>
      </c>
      <c r="C89" s="13" t="s">
        <v>183</v>
      </c>
      <c r="D89" s="12" t="s">
        <v>246</v>
      </c>
      <c r="E89" s="13" t="s">
        <v>247</v>
      </c>
      <c r="F89" s="12" t="s">
        <v>254</v>
      </c>
      <c r="G89" s="13" t="s">
        <v>255</v>
      </c>
      <c r="H89" s="9"/>
      <c r="I89" s="10">
        <f>IF(H89="","",H89/5)</f>
      </c>
      <c r="J89" s="11">
        <f>IF(H89="","",VLOOKUP(H89,Escala!$A$2:$C$7,3,FALSE))</f>
      </c>
    </row>
    <row r="90" spans="1:10" x14ac:dyDescent="0.25">
      <c r="A90">
        <v>89</v>
      </c>
      <c r="B90" t="s">
        <v>182</v>
      </c>
      <c r="C90" s="8" t="s">
        <v>183</v>
      </c>
      <c r="D90" t="s">
        <v>246</v>
      </c>
      <c r="E90" s="8" t="s">
        <v>247</v>
      </c>
      <c r="F90" t="s">
        <v>256</v>
      </c>
      <c r="G90" s="8" t="s">
        <v>257</v>
      </c>
      <c r="H90" s="9"/>
      <c r="I90" s="10">
        <f>IF(H90="","",H90/5)</f>
      </c>
      <c r="J90" s="11">
        <f>IF(H90="","",VLOOKUP(H90,Escala!$A$2:$C$7,3,FALSE))</f>
      </c>
    </row>
    <row r="91" spans="1:10" x14ac:dyDescent="0.25">
      <c r="A91" s="12">
        <v>90</v>
      </c>
      <c r="B91" s="12" t="s">
        <v>182</v>
      </c>
      <c r="C91" s="13" t="s">
        <v>183</v>
      </c>
      <c r="D91" s="12" t="s">
        <v>246</v>
      </c>
      <c r="E91" s="13" t="s">
        <v>247</v>
      </c>
      <c r="F91" s="12" t="s">
        <v>258</v>
      </c>
      <c r="G91" s="13" t="s">
        <v>259</v>
      </c>
      <c r="H91" s="9"/>
      <c r="I91" s="10">
        <f>IF(H91="","",H91/5)</f>
      </c>
      <c r="J91" s="11">
        <f>IF(H91="","",VLOOKUP(H91,Escala!$A$2:$C$7,3,FALSE))</f>
      </c>
    </row>
    <row r="92" spans="1:10" x14ac:dyDescent="0.25">
      <c r="A92">
        <v>91</v>
      </c>
      <c r="B92" t="s">
        <v>182</v>
      </c>
      <c r="C92" s="8" t="s">
        <v>183</v>
      </c>
      <c r="D92" t="s">
        <v>246</v>
      </c>
      <c r="E92" s="8" t="s">
        <v>247</v>
      </c>
      <c r="F92" t="s">
        <v>260</v>
      </c>
      <c r="G92" s="8" t="s">
        <v>261</v>
      </c>
      <c r="H92" s="9"/>
      <c r="I92" s="10">
        <f>IF(H92="","",H92/5)</f>
      </c>
      <c r="J92" s="11">
        <f>IF(H92="","",VLOOKUP(H92,Escala!$A$2:$C$7,3,FALSE))</f>
      </c>
    </row>
    <row r="93" spans="1:10" x14ac:dyDescent="0.25">
      <c r="A93" s="12">
        <v>92</v>
      </c>
      <c r="B93" s="12" t="s">
        <v>182</v>
      </c>
      <c r="C93" s="13" t="s">
        <v>183</v>
      </c>
      <c r="D93" s="12" t="s">
        <v>246</v>
      </c>
      <c r="E93" s="13" t="s">
        <v>247</v>
      </c>
      <c r="F93" s="12" t="s">
        <v>262</v>
      </c>
      <c r="G93" s="13" t="s">
        <v>263</v>
      </c>
      <c r="H93" s="9"/>
      <c r="I93" s="10">
        <f>IF(H93="","",H93/5)</f>
      </c>
      <c r="J93" s="11">
        <f>IF(H93="","",VLOOKUP(H93,Escala!$A$2:$C$7,3,FALSE))</f>
      </c>
    </row>
    <row r="94" spans="1:10" x14ac:dyDescent="0.25">
      <c r="A94">
        <v>93</v>
      </c>
      <c r="B94" t="s">
        <v>182</v>
      </c>
      <c r="C94" s="8" t="s">
        <v>183</v>
      </c>
      <c r="D94" t="s">
        <v>246</v>
      </c>
      <c r="E94" s="8" t="s">
        <v>247</v>
      </c>
      <c r="F94" t="s">
        <v>264</v>
      </c>
      <c r="G94" s="8" t="s">
        <v>265</v>
      </c>
      <c r="H94" s="9"/>
      <c r="I94" s="10">
        <f>IF(H94="","",H94/5)</f>
      </c>
      <c r="J94" s="11">
        <f>IF(H94="","",VLOOKUP(H94,Escala!$A$2:$C$7,3,FALSE))</f>
      </c>
    </row>
    <row r="95" spans="1:10" x14ac:dyDescent="0.25">
      <c r="A95" s="12">
        <v>94</v>
      </c>
      <c r="B95" s="12" t="s">
        <v>182</v>
      </c>
      <c r="C95" s="13" t="s">
        <v>183</v>
      </c>
      <c r="D95" s="12" t="s">
        <v>246</v>
      </c>
      <c r="E95" s="13" t="s">
        <v>247</v>
      </c>
      <c r="F95" s="12" t="s">
        <v>266</v>
      </c>
      <c r="G95" s="13" t="s">
        <v>267</v>
      </c>
      <c r="H95" s="9"/>
      <c r="I95" s="10">
        <f>IF(H95="","",H95/5)</f>
      </c>
      <c r="J95" s="11">
        <f>IF(H95="","",VLOOKUP(H95,Escala!$A$2:$C$7,3,FALSE))</f>
      </c>
    </row>
    <row r="96" spans="1:10" x14ac:dyDescent="0.25">
      <c r="A96">
        <v>95</v>
      </c>
      <c r="B96" t="s">
        <v>182</v>
      </c>
      <c r="C96" s="8" t="s">
        <v>183</v>
      </c>
      <c r="D96" t="s">
        <v>246</v>
      </c>
      <c r="E96" s="8" t="s">
        <v>247</v>
      </c>
      <c r="F96" t="s">
        <v>268</v>
      </c>
      <c r="G96" s="8" t="s">
        <v>269</v>
      </c>
      <c r="H96" s="9"/>
      <c r="I96" s="10">
        <f>IF(H96="","",H96/5)</f>
      </c>
      <c r="J96" s="11">
        <f>IF(H96="","",VLOOKUP(H96,Escala!$A$2:$C$7,3,FALSE))</f>
      </c>
    </row>
    <row r="97" spans="1:10" x14ac:dyDescent="0.25">
      <c r="A97" s="12">
        <v>96</v>
      </c>
      <c r="B97" s="12" t="s">
        <v>182</v>
      </c>
      <c r="C97" s="13" t="s">
        <v>183</v>
      </c>
      <c r="D97" s="12" t="s">
        <v>246</v>
      </c>
      <c r="E97" s="13" t="s">
        <v>247</v>
      </c>
      <c r="F97" s="12" t="s">
        <v>270</v>
      </c>
      <c r="G97" s="13" t="s">
        <v>271</v>
      </c>
      <c r="H97" s="9"/>
      <c r="I97" s="10">
        <f>IF(H97="","",H97/5)</f>
      </c>
      <c r="J97" s="11">
        <f>IF(H97="","",VLOOKUP(H97,Escala!$A$2:$C$7,3,FALSE))</f>
      </c>
    </row>
    <row r="98" spans="1:10" x14ac:dyDescent="0.25">
      <c r="A98">
        <v>97</v>
      </c>
      <c r="B98" t="s">
        <v>182</v>
      </c>
      <c r="C98" s="8" t="s">
        <v>183</v>
      </c>
      <c r="D98" t="s">
        <v>246</v>
      </c>
      <c r="E98" s="8" t="s">
        <v>247</v>
      </c>
      <c r="F98" t="s">
        <v>272</v>
      </c>
      <c r="G98" s="8" t="s">
        <v>273</v>
      </c>
      <c r="H98" s="9"/>
      <c r="I98" s="10">
        <f>IF(H98="","",H98/5)</f>
      </c>
      <c r="J98" s="11">
        <f>IF(H98="","",VLOOKUP(H98,Escala!$A$2:$C$7,3,FALSE))</f>
      </c>
    </row>
    <row r="99" spans="1:10" x14ac:dyDescent="0.25">
      <c r="A99" s="12">
        <v>98</v>
      </c>
      <c r="B99" s="12" t="s">
        <v>274</v>
      </c>
      <c r="C99" s="13" t="s">
        <v>275</v>
      </c>
      <c r="D99" s="12" t="s">
        <v>276</v>
      </c>
      <c r="E99" s="13" t="s">
        <v>277</v>
      </c>
      <c r="F99" s="12" t="s">
        <v>278</v>
      </c>
      <c r="G99" s="13" t="s">
        <v>279</v>
      </c>
      <c r="H99" s="9"/>
      <c r="I99" s="10">
        <f>IF(H99="","",H99/5)</f>
      </c>
      <c r="J99" s="11">
        <f>IF(H99="","",VLOOKUP(H99,Escala!$A$2:$C$7,3,FALSE))</f>
      </c>
    </row>
    <row r="100" spans="1:10" x14ac:dyDescent="0.25">
      <c r="A100">
        <v>99</v>
      </c>
      <c r="B100" t="s">
        <v>274</v>
      </c>
      <c r="C100" s="8" t="s">
        <v>275</v>
      </c>
      <c r="D100" t="s">
        <v>276</v>
      </c>
      <c r="E100" s="8" t="s">
        <v>277</v>
      </c>
      <c r="F100" t="s">
        <v>280</v>
      </c>
      <c r="G100" s="8" t="s">
        <v>281</v>
      </c>
      <c r="H100" s="9"/>
      <c r="I100" s="10">
        <f>IF(H100="","",H100/5)</f>
      </c>
      <c r="J100" s="11">
        <f>IF(H100="","",VLOOKUP(H100,Escala!$A$2:$C$7,3,FALSE))</f>
      </c>
    </row>
    <row r="101" spans="1:10" x14ac:dyDescent="0.25">
      <c r="A101" s="12">
        <v>100</v>
      </c>
      <c r="B101" s="12" t="s">
        <v>274</v>
      </c>
      <c r="C101" s="13" t="s">
        <v>275</v>
      </c>
      <c r="D101" s="12" t="s">
        <v>276</v>
      </c>
      <c r="E101" s="13" t="s">
        <v>277</v>
      </c>
      <c r="F101" s="12" t="s">
        <v>282</v>
      </c>
      <c r="G101" s="13" t="s">
        <v>283</v>
      </c>
      <c r="H101" s="9"/>
      <c r="I101" s="10">
        <f>IF(H101="","",H101/5)</f>
      </c>
      <c r="J101" s="11">
        <f>IF(H101="","",VLOOKUP(H101,Escala!$A$2:$C$7,3,FALSE))</f>
      </c>
    </row>
    <row r="102" spans="1:10" x14ac:dyDescent="0.25">
      <c r="A102">
        <v>101</v>
      </c>
      <c r="B102" t="s">
        <v>274</v>
      </c>
      <c r="C102" s="8" t="s">
        <v>275</v>
      </c>
      <c r="D102" t="s">
        <v>276</v>
      </c>
      <c r="E102" s="8" t="s">
        <v>277</v>
      </c>
      <c r="F102" t="s">
        <v>284</v>
      </c>
      <c r="G102" s="8" t="s">
        <v>285</v>
      </c>
      <c r="H102" s="9"/>
      <c r="I102" s="10">
        <f>IF(H102="","",H102/5)</f>
      </c>
      <c r="J102" s="11">
        <f>IF(H102="","",VLOOKUP(H102,Escala!$A$2:$C$7,3,FALSE))</f>
      </c>
    </row>
    <row r="103" spans="1:10" x14ac:dyDescent="0.25">
      <c r="A103" s="12">
        <v>102</v>
      </c>
      <c r="B103" s="12" t="s">
        <v>274</v>
      </c>
      <c r="C103" s="13" t="s">
        <v>275</v>
      </c>
      <c r="D103" s="12" t="s">
        <v>276</v>
      </c>
      <c r="E103" s="13" t="s">
        <v>277</v>
      </c>
      <c r="F103" s="12" t="s">
        <v>286</v>
      </c>
      <c r="G103" s="13" t="s">
        <v>287</v>
      </c>
      <c r="H103" s="9"/>
      <c r="I103" s="10">
        <f>IF(H103="","",H103/5)</f>
      </c>
      <c r="J103" s="11">
        <f>IF(H103="","",VLOOKUP(H103,Escala!$A$2:$C$7,3,FALSE))</f>
      </c>
    </row>
    <row r="104" spans="1:10" x14ac:dyDescent="0.25">
      <c r="A104">
        <v>103</v>
      </c>
      <c r="B104" t="s">
        <v>274</v>
      </c>
      <c r="C104" s="8" t="s">
        <v>275</v>
      </c>
      <c r="D104" t="s">
        <v>276</v>
      </c>
      <c r="E104" s="8" t="s">
        <v>277</v>
      </c>
      <c r="F104" t="s">
        <v>288</v>
      </c>
      <c r="G104" s="8" t="s">
        <v>289</v>
      </c>
      <c r="H104" s="9"/>
      <c r="I104" s="10">
        <f>IF(H104="","",H104/5)</f>
      </c>
      <c r="J104" s="11">
        <f>IF(H104="","",VLOOKUP(H104,Escala!$A$2:$C$7,3,FALSE))</f>
      </c>
    </row>
    <row r="105" spans="1:10" x14ac:dyDescent="0.25">
      <c r="A105" s="12">
        <v>104</v>
      </c>
      <c r="B105" s="12" t="s">
        <v>274</v>
      </c>
      <c r="C105" s="13" t="s">
        <v>275</v>
      </c>
      <c r="D105" s="12" t="s">
        <v>276</v>
      </c>
      <c r="E105" s="13" t="s">
        <v>277</v>
      </c>
      <c r="F105" s="12" t="s">
        <v>290</v>
      </c>
      <c r="G105" s="13" t="s">
        <v>291</v>
      </c>
      <c r="H105" s="9"/>
      <c r="I105" s="10">
        <f>IF(H105="","",H105/5)</f>
      </c>
      <c r="J105" s="11">
        <f>IF(H105="","",VLOOKUP(H105,Escala!$A$2:$C$7,3,FALSE))</f>
      </c>
    </row>
    <row r="106" spans="1:10" x14ac:dyDescent="0.25">
      <c r="A106">
        <v>105</v>
      </c>
      <c r="B106" t="s">
        <v>274</v>
      </c>
      <c r="C106" s="8" t="s">
        <v>275</v>
      </c>
      <c r="D106" t="s">
        <v>276</v>
      </c>
      <c r="E106" s="8" t="s">
        <v>277</v>
      </c>
      <c r="F106" t="s">
        <v>292</v>
      </c>
      <c r="G106" s="8" t="s">
        <v>293</v>
      </c>
      <c r="H106" s="9"/>
      <c r="I106" s="10">
        <f>IF(H106="","",H106/5)</f>
      </c>
      <c r="J106" s="11">
        <f>IF(H106="","",VLOOKUP(H106,Escala!$A$2:$C$7,3,FALSE))</f>
      </c>
    </row>
    <row r="107" spans="1:10" x14ac:dyDescent="0.25">
      <c r="A107" s="12">
        <v>106</v>
      </c>
      <c r="B107" s="12" t="s">
        <v>274</v>
      </c>
      <c r="C107" s="13" t="s">
        <v>275</v>
      </c>
      <c r="D107" s="12" t="s">
        <v>276</v>
      </c>
      <c r="E107" s="13" t="s">
        <v>277</v>
      </c>
      <c r="F107" s="12" t="s">
        <v>294</v>
      </c>
      <c r="G107" s="13" t="s">
        <v>295</v>
      </c>
      <c r="H107" s="9"/>
      <c r="I107" s="10">
        <f>IF(H107="","",H107/5)</f>
      </c>
      <c r="J107" s="11">
        <f>IF(H107="","",VLOOKUP(H107,Escala!$A$2:$C$7,3,FALSE))</f>
      </c>
    </row>
    <row r="108" spans="1:10" x14ac:dyDescent="0.25">
      <c r="A108">
        <v>107</v>
      </c>
      <c r="B108" t="s">
        <v>274</v>
      </c>
      <c r="C108" s="8" t="s">
        <v>275</v>
      </c>
      <c r="D108" t="s">
        <v>276</v>
      </c>
      <c r="E108" s="8" t="s">
        <v>277</v>
      </c>
      <c r="F108" t="s">
        <v>296</v>
      </c>
      <c r="G108" s="8" t="s">
        <v>297</v>
      </c>
      <c r="H108" s="9"/>
      <c r="I108" s="10">
        <f>IF(H108="","",H108/5)</f>
      </c>
      <c r="J108" s="11">
        <f>IF(H108="","",VLOOKUP(H108,Escala!$A$2:$C$7,3,FALSE))</f>
      </c>
    </row>
    <row r="109" spans="1:10" x14ac:dyDescent="0.25">
      <c r="A109" s="12">
        <v>108</v>
      </c>
      <c r="B109" s="12" t="s">
        <v>274</v>
      </c>
      <c r="C109" s="13" t="s">
        <v>275</v>
      </c>
      <c r="D109" s="12" t="s">
        <v>276</v>
      </c>
      <c r="E109" s="13" t="s">
        <v>277</v>
      </c>
      <c r="F109" s="12" t="s">
        <v>298</v>
      </c>
      <c r="G109" s="13" t="s">
        <v>299</v>
      </c>
      <c r="H109" s="9"/>
      <c r="I109" s="10">
        <f>IF(H109="","",H109/5)</f>
      </c>
      <c r="J109" s="11">
        <f>IF(H109="","",VLOOKUP(H109,Escala!$A$2:$C$7,3,FALSE))</f>
      </c>
    </row>
    <row r="110" spans="1:10" x14ac:dyDescent="0.25">
      <c r="A110">
        <v>109</v>
      </c>
      <c r="B110" t="s">
        <v>274</v>
      </c>
      <c r="C110" s="8" t="s">
        <v>275</v>
      </c>
      <c r="D110" t="s">
        <v>276</v>
      </c>
      <c r="E110" s="8" t="s">
        <v>277</v>
      </c>
      <c r="F110" t="s">
        <v>300</v>
      </c>
      <c r="G110" s="8" t="s">
        <v>301</v>
      </c>
      <c r="H110" s="9"/>
      <c r="I110" s="10">
        <f>IF(H110="","",H110/5)</f>
      </c>
      <c r="J110" s="11">
        <f>IF(H110="","",VLOOKUP(H110,Escala!$A$2:$C$7,3,FALSE))</f>
      </c>
    </row>
    <row r="111" spans="1:10" x14ac:dyDescent="0.25">
      <c r="A111" s="12">
        <v>110</v>
      </c>
      <c r="B111" s="12" t="s">
        <v>274</v>
      </c>
      <c r="C111" s="13" t="s">
        <v>275</v>
      </c>
      <c r="D111" s="12" t="s">
        <v>302</v>
      </c>
      <c r="E111" s="13" t="s">
        <v>303</v>
      </c>
      <c r="F111" s="12" t="s">
        <v>304</v>
      </c>
      <c r="G111" s="13" t="s">
        <v>305</v>
      </c>
      <c r="H111" s="9"/>
      <c r="I111" s="10">
        <f>IF(H111="","",H111/5)</f>
      </c>
      <c r="J111" s="11">
        <f>IF(H111="","",VLOOKUP(H111,Escala!$A$2:$C$7,3,FALSE))</f>
      </c>
    </row>
    <row r="112" spans="1:10" x14ac:dyDescent="0.25">
      <c r="A112">
        <v>111</v>
      </c>
      <c r="B112" t="s">
        <v>274</v>
      </c>
      <c r="C112" s="8" t="s">
        <v>275</v>
      </c>
      <c r="D112" t="s">
        <v>302</v>
      </c>
      <c r="E112" s="8" t="s">
        <v>303</v>
      </c>
      <c r="F112" t="s">
        <v>306</v>
      </c>
      <c r="G112" s="8" t="s">
        <v>307</v>
      </c>
      <c r="H112" s="9"/>
      <c r="I112" s="10">
        <f>IF(H112="","",H112/5)</f>
      </c>
      <c r="J112" s="11">
        <f>IF(H112="","",VLOOKUP(H112,Escala!$A$2:$C$7,3,FALSE))</f>
      </c>
    </row>
    <row r="113" spans="1:10" x14ac:dyDescent="0.25">
      <c r="A113" s="12">
        <v>112</v>
      </c>
      <c r="B113" s="12" t="s">
        <v>274</v>
      </c>
      <c r="C113" s="13" t="s">
        <v>275</v>
      </c>
      <c r="D113" s="12" t="s">
        <v>302</v>
      </c>
      <c r="E113" s="13" t="s">
        <v>303</v>
      </c>
      <c r="F113" s="12" t="s">
        <v>308</v>
      </c>
      <c r="G113" s="13" t="s">
        <v>309</v>
      </c>
      <c r="H113" s="9"/>
      <c r="I113" s="10">
        <f>IF(H113="","",H113/5)</f>
      </c>
      <c r="J113" s="11">
        <f>IF(H113="","",VLOOKUP(H113,Escala!$A$2:$C$7,3,FALSE))</f>
      </c>
    </row>
    <row r="114" spans="1:10" x14ac:dyDescent="0.25">
      <c r="A114">
        <v>113</v>
      </c>
      <c r="B114" t="s">
        <v>274</v>
      </c>
      <c r="C114" s="8" t="s">
        <v>275</v>
      </c>
      <c r="D114" t="s">
        <v>302</v>
      </c>
      <c r="E114" s="8" t="s">
        <v>303</v>
      </c>
      <c r="F114" t="s">
        <v>310</v>
      </c>
      <c r="G114" s="8" t="s">
        <v>311</v>
      </c>
      <c r="H114" s="9"/>
      <c r="I114" s="10">
        <f>IF(H114="","",H114/5)</f>
      </c>
      <c r="J114" s="11">
        <f>IF(H114="","",VLOOKUP(H114,Escala!$A$2:$C$7,3,FALSE))</f>
      </c>
    </row>
    <row r="115" spans="1:10" x14ac:dyDescent="0.25">
      <c r="A115" s="12">
        <v>114</v>
      </c>
      <c r="B115" s="12" t="s">
        <v>274</v>
      </c>
      <c r="C115" s="13" t="s">
        <v>275</v>
      </c>
      <c r="D115" s="12" t="s">
        <v>302</v>
      </c>
      <c r="E115" s="13" t="s">
        <v>303</v>
      </c>
      <c r="F115" s="12" t="s">
        <v>312</v>
      </c>
      <c r="G115" s="13" t="s">
        <v>313</v>
      </c>
      <c r="H115" s="9"/>
      <c r="I115" s="10">
        <f>IF(H115="","",H115/5)</f>
      </c>
      <c r="J115" s="11">
        <f>IF(H115="","",VLOOKUP(H115,Escala!$A$2:$C$7,3,FALSE))</f>
      </c>
    </row>
    <row r="116" spans="1:10" x14ac:dyDescent="0.25">
      <c r="A116">
        <v>115</v>
      </c>
      <c r="B116" t="s">
        <v>274</v>
      </c>
      <c r="C116" s="8" t="s">
        <v>275</v>
      </c>
      <c r="D116" t="s">
        <v>302</v>
      </c>
      <c r="E116" s="8" t="s">
        <v>303</v>
      </c>
      <c r="F116" t="s">
        <v>314</v>
      </c>
      <c r="G116" s="8" t="s">
        <v>315</v>
      </c>
      <c r="H116" s="9"/>
      <c r="I116" s="10">
        <f>IF(H116="","",H116/5)</f>
      </c>
      <c r="J116" s="11">
        <f>IF(H116="","",VLOOKUP(H116,Escala!$A$2:$C$7,3,FALSE))</f>
      </c>
    </row>
    <row r="117" spans="1:10" x14ac:dyDescent="0.25">
      <c r="A117" s="12">
        <v>116</v>
      </c>
      <c r="B117" s="12" t="s">
        <v>274</v>
      </c>
      <c r="C117" s="13" t="s">
        <v>275</v>
      </c>
      <c r="D117" s="12" t="s">
        <v>302</v>
      </c>
      <c r="E117" s="13" t="s">
        <v>303</v>
      </c>
      <c r="F117" s="12" t="s">
        <v>316</v>
      </c>
      <c r="G117" s="13" t="s">
        <v>317</v>
      </c>
      <c r="H117" s="9"/>
      <c r="I117" s="10">
        <f>IF(H117="","",H117/5)</f>
      </c>
      <c r="J117" s="11">
        <f>IF(H117="","",VLOOKUP(H117,Escala!$A$2:$C$7,3,FALSE))</f>
      </c>
    </row>
    <row r="118" spans="1:10" x14ac:dyDescent="0.25">
      <c r="A118">
        <v>117</v>
      </c>
      <c r="B118" t="s">
        <v>274</v>
      </c>
      <c r="C118" s="8" t="s">
        <v>275</v>
      </c>
      <c r="D118" t="s">
        <v>302</v>
      </c>
      <c r="E118" s="8" t="s">
        <v>303</v>
      </c>
      <c r="F118" t="s">
        <v>318</v>
      </c>
      <c r="G118" s="8" t="s">
        <v>319</v>
      </c>
      <c r="H118" s="9"/>
      <c r="I118" s="10">
        <f>IF(H118="","",H118/5)</f>
      </c>
      <c r="J118" s="11">
        <f>IF(H118="","",VLOOKUP(H118,Escala!$A$2:$C$7,3,FALSE))</f>
      </c>
    </row>
    <row r="119" spans="1:10" x14ac:dyDescent="0.25">
      <c r="A119" s="12">
        <v>118</v>
      </c>
      <c r="B119" s="12" t="s">
        <v>274</v>
      </c>
      <c r="C119" s="13" t="s">
        <v>275</v>
      </c>
      <c r="D119" s="12" t="s">
        <v>302</v>
      </c>
      <c r="E119" s="13" t="s">
        <v>303</v>
      </c>
      <c r="F119" s="12" t="s">
        <v>320</v>
      </c>
      <c r="G119" s="13" t="s">
        <v>321</v>
      </c>
      <c r="H119" s="9"/>
      <c r="I119" s="10">
        <f>IF(H119="","",H119/5)</f>
      </c>
      <c r="J119" s="11">
        <f>IF(H119="","",VLOOKUP(H119,Escala!$A$2:$C$7,3,FALSE))</f>
      </c>
    </row>
    <row r="120" spans="1:10" x14ac:dyDescent="0.25">
      <c r="A120">
        <v>119</v>
      </c>
      <c r="B120" t="s">
        <v>274</v>
      </c>
      <c r="C120" s="8" t="s">
        <v>275</v>
      </c>
      <c r="D120" t="s">
        <v>302</v>
      </c>
      <c r="E120" s="8" t="s">
        <v>303</v>
      </c>
      <c r="F120" t="s">
        <v>322</v>
      </c>
      <c r="G120" s="8" t="s">
        <v>323</v>
      </c>
      <c r="H120" s="9"/>
      <c r="I120" s="10">
        <f>IF(H120="","",H120/5)</f>
      </c>
      <c r="J120" s="11">
        <f>IF(H120="","",VLOOKUP(H120,Escala!$A$2:$C$7,3,FALSE))</f>
      </c>
    </row>
    <row r="121" spans="1:10" x14ac:dyDescent="0.25">
      <c r="A121" s="12">
        <v>120</v>
      </c>
      <c r="B121" s="12" t="s">
        <v>274</v>
      </c>
      <c r="C121" s="13" t="s">
        <v>275</v>
      </c>
      <c r="D121" s="12" t="s">
        <v>302</v>
      </c>
      <c r="E121" s="13" t="s">
        <v>303</v>
      </c>
      <c r="F121" s="12" t="s">
        <v>324</v>
      </c>
      <c r="G121" s="13" t="s">
        <v>325</v>
      </c>
      <c r="H121" s="9"/>
      <c r="I121" s="10">
        <f>IF(H121="","",H121/5)</f>
      </c>
      <c r="J121" s="11">
        <f>IF(H121="","",VLOOKUP(H121,Escala!$A$2:$C$7,3,FALSE))</f>
      </c>
    </row>
    <row r="122" spans="1:10" x14ac:dyDescent="0.25">
      <c r="A122">
        <v>121</v>
      </c>
      <c r="B122" t="s">
        <v>274</v>
      </c>
      <c r="C122" s="8" t="s">
        <v>275</v>
      </c>
      <c r="D122" t="s">
        <v>302</v>
      </c>
      <c r="E122" s="8" t="s">
        <v>303</v>
      </c>
      <c r="F122" t="s">
        <v>326</v>
      </c>
      <c r="G122" s="8" t="s">
        <v>327</v>
      </c>
      <c r="H122" s="9"/>
      <c r="I122" s="10">
        <f>IF(H122="","",H122/5)</f>
      </c>
      <c r="J122" s="11">
        <f>IF(H122="","",VLOOKUP(H122,Escala!$A$2:$C$7,3,FALSE))</f>
      </c>
    </row>
    <row r="123" spans="1:10" x14ac:dyDescent="0.25">
      <c r="A123" s="12">
        <v>122</v>
      </c>
      <c r="B123" s="12" t="s">
        <v>274</v>
      </c>
      <c r="C123" s="13" t="s">
        <v>275</v>
      </c>
      <c r="D123" s="12" t="s">
        <v>328</v>
      </c>
      <c r="E123" s="13" t="s">
        <v>329</v>
      </c>
      <c r="F123" s="12" t="s">
        <v>330</v>
      </c>
      <c r="G123" s="13" t="s">
        <v>331</v>
      </c>
      <c r="H123" s="9"/>
      <c r="I123" s="10">
        <f>IF(H123="","",H123/5)</f>
      </c>
      <c r="J123" s="11">
        <f>IF(H123="","",VLOOKUP(H123,Escala!$A$2:$C$7,3,FALSE))</f>
      </c>
    </row>
    <row r="124" spans="1:10" x14ac:dyDescent="0.25">
      <c r="A124">
        <v>123</v>
      </c>
      <c r="B124" t="s">
        <v>274</v>
      </c>
      <c r="C124" s="8" t="s">
        <v>275</v>
      </c>
      <c r="D124" t="s">
        <v>328</v>
      </c>
      <c r="E124" s="8" t="s">
        <v>329</v>
      </c>
      <c r="F124" t="s">
        <v>332</v>
      </c>
      <c r="G124" s="8" t="s">
        <v>333</v>
      </c>
      <c r="H124" s="9"/>
      <c r="I124" s="10">
        <f>IF(H124="","",H124/5)</f>
      </c>
      <c r="J124" s="11">
        <f>IF(H124="","",VLOOKUP(H124,Escala!$A$2:$C$7,3,FALSE))</f>
      </c>
    </row>
    <row r="125" spans="1:10" x14ac:dyDescent="0.25">
      <c r="A125" s="12">
        <v>124</v>
      </c>
      <c r="B125" s="12" t="s">
        <v>274</v>
      </c>
      <c r="C125" s="13" t="s">
        <v>275</v>
      </c>
      <c r="D125" s="12" t="s">
        <v>328</v>
      </c>
      <c r="E125" s="13" t="s">
        <v>329</v>
      </c>
      <c r="F125" s="12" t="s">
        <v>334</v>
      </c>
      <c r="G125" s="13" t="s">
        <v>335</v>
      </c>
      <c r="H125" s="9"/>
      <c r="I125" s="10">
        <f>IF(H125="","",H125/5)</f>
      </c>
      <c r="J125" s="11">
        <f>IF(H125="","",VLOOKUP(H125,Escala!$A$2:$C$7,3,FALSE))</f>
      </c>
    </row>
    <row r="126" spans="1:10" x14ac:dyDescent="0.25">
      <c r="A126">
        <v>125</v>
      </c>
      <c r="B126" t="s">
        <v>274</v>
      </c>
      <c r="C126" s="8" t="s">
        <v>275</v>
      </c>
      <c r="D126" t="s">
        <v>328</v>
      </c>
      <c r="E126" s="8" t="s">
        <v>329</v>
      </c>
      <c r="F126" t="s">
        <v>336</v>
      </c>
      <c r="G126" s="8" t="s">
        <v>337</v>
      </c>
      <c r="H126" s="9"/>
      <c r="I126" s="10">
        <f>IF(H126="","",H126/5)</f>
      </c>
      <c r="J126" s="11">
        <f>IF(H126="","",VLOOKUP(H126,Escala!$A$2:$C$7,3,FALSE))</f>
      </c>
    </row>
    <row r="127" spans="1:10" x14ac:dyDescent="0.25">
      <c r="A127" s="12">
        <v>126</v>
      </c>
      <c r="B127" s="12" t="s">
        <v>274</v>
      </c>
      <c r="C127" s="13" t="s">
        <v>275</v>
      </c>
      <c r="D127" s="12" t="s">
        <v>328</v>
      </c>
      <c r="E127" s="13" t="s">
        <v>329</v>
      </c>
      <c r="F127" s="12" t="s">
        <v>338</v>
      </c>
      <c r="G127" s="13" t="s">
        <v>339</v>
      </c>
      <c r="H127" s="9"/>
      <c r="I127" s="10">
        <f>IF(H127="","",H127/5)</f>
      </c>
      <c r="J127" s="11">
        <f>IF(H127="","",VLOOKUP(H127,Escala!$A$2:$C$7,3,FALSE))</f>
      </c>
    </row>
    <row r="128" spans="1:10" x14ac:dyDescent="0.25">
      <c r="A128">
        <v>127</v>
      </c>
      <c r="B128" t="s">
        <v>274</v>
      </c>
      <c r="C128" s="8" t="s">
        <v>275</v>
      </c>
      <c r="D128" t="s">
        <v>328</v>
      </c>
      <c r="E128" s="8" t="s">
        <v>329</v>
      </c>
      <c r="F128" t="s">
        <v>340</v>
      </c>
      <c r="G128" s="8" t="s">
        <v>341</v>
      </c>
      <c r="H128" s="9"/>
      <c r="I128" s="10">
        <f>IF(H128="","",H128/5)</f>
      </c>
      <c r="J128" s="11">
        <f>IF(H128="","",VLOOKUP(H128,Escala!$A$2:$C$7,3,FALSE))</f>
      </c>
    </row>
    <row r="129" spans="1:10" x14ac:dyDescent="0.25">
      <c r="A129" s="12">
        <v>128</v>
      </c>
      <c r="B129" s="12" t="s">
        <v>274</v>
      </c>
      <c r="C129" s="13" t="s">
        <v>275</v>
      </c>
      <c r="D129" s="12" t="s">
        <v>328</v>
      </c>
      <c r="E129" s="13" t="s">
        <v>329</v>
      </c>
      <c r="F129" s="12" t="s">
        <v>342</v>
      </c>
      <c r="G129" s="13" t="s">
        <v>343</v>
      </c>
      <c r="H129" s="9"/>
      <c r="I129" s="10">
        <f>IF(H129="","",H129/5)</f>
      </c>
      <c r="J129" s="11">
        <f>IF(H129="","",VLOOKUP(H129,Escala!$A$2:$C$7,3,FALSE))</f>
      </c>
    </row>
    <row r="130" spans="1:10" x14ac:dyDescent="0.25">
      <c r="A130">
        <v>129</v>
      </c>
      <c r="B130" t="s">
        <v>274</v>
      </c>
      <c r="C130" s="8" t="s">
        <v>275</v>
      </c>
      <c r="D130" t="s">
        <v>328</v>
      </c>
      <c r="E130" s="8" t="s">
        <v>329</v>
      </c>
      <c r="F130" t="s">
        <v>344</v>
      </c>
      <c r="G130" s="8" t="s">
        <v>345</v>
      </c>
      <c r="H130" s="9"/>
      <c r="I130" s="10">
        <f>IF(H130="","",H130/5)</f>
      </c>
      <c r="J130" s="11">
        <f>IF(H130="","",VLOOKUP(H130,Escala!$A$2:$C$7,3,FALSE))</f>
      </c>
    </row>
    <row r="131" spans="1:10" x14ac:dyDescent="0.25">
      <c r="A131" s="12">
        <v>130</v>
      </c>
      <c r="B131" s="12" t="s">
        <v>274</v>
      </c>
      <c r="C131" s="13" t="s">
        <v>275</v>
      </c>
      <c r="D131" s="12" t="s">
        <v>328</v>
      </c>
      <c r="E131" s="13" t="s">
        <v>329</v>
      </c>
      <c r="F131" s="12" t="s">
        <v>346</v>
      </c>
      <c r="G131" s="13" t="s">
        <v>347</v>
      </c>
      <c r="H131" s="9"/>
      <c r="I131" s="10">
        <f>IF(H131="","",H131/5)</f>
      </c>
      <c r="J131" s="11">
        <f>IF(H131="","",VLOOKUP(H131,Escala!$A$2:$C$7,3,FALSE))</f>
      </c>
    </row>
    <row r="132" spans="1:10" x14ac:dyDescent="0.25">
      <c r="A132">
        <v>131</v>
      </c>
      <c r="B132" t="s">
        <v>274</v>
      </c>
      <c r="C132" s="8" t="s">
        <v>275</v>
      </c>
      <c r="D132" t="s">
        <v>328</v>
      </c>
      <c r="E132" s="8" t="s">
        <v>329</v>
      </c>
      <c r="F132" t="s">
        <v>348</v>
      </c>
      <c r="G132" s="8" t="s">
        <v>349</v>
      </c>
      <c r="H132" s="9"/>
      <c r="I132" s="10">
        <f>IF(H132="","",H132/5)</f>
      </c>
      <c r="J132" s="11">
        <f>IF(H132="","",VLOOKUP(H132,Escala!$A$2:$C$7,3,FALSE))</f>
      </c>
    </row>
    <row r="133" spans="1:10" x14ac:dyDescent="0.25">
      <c r="A133" s="12">
        <v>132</v>
      </c>
      <c r="B133" s="12" t="s">
        <v>350</v>
      </c>
      <c r="C133" s="13" t="s">
        <v>351</v>
      </c>
      <c r="D133" s="12" t="s">
        <v>352</v>
      </c>
      <c r="E133" s="13" t="s">
        <v>353</v>
      </c>
      <c r="F133" s="12" t="s">
        <v>354</v>
      </c>
      <c r="G133" s="13" t="s">
        <v>355</v>
      </c>
      <c r="H133" s="9"/>
      <c r="I133" s="10">
        <f>IF(H133="","",H133/5)</f>
      </c>
      <c r="J133" s="11">
        <f>IF(H133="","",VLOOKUP(H133,Escala!$A$2:$C$7,3,FALSE))</f>
      </c>
    </row>
    <row r="134" spans="1:10" x14ac:dyDescent="0.25">
      <c r="A134">
        <v>133</v>
      </c>
      <c r="B134" t="s">
        <v>350</v>
      </c>
      <c r="C134" s="8" t="s">
        <v>351</v>
      </c>
      <c r="D134" t="s">
        <v>352</v>
      </c>
      <c r="E134" s="8" t="s">
        <v>353</v>
      </c>
      <c r="F134" t="s">
        <v>356</v>
      </c>
      <c r="G134" s="8" t="s">
        <v>357</v>
      </c>
      <c r="H134" s="9"/>
      <c r="I134" s="10">
        <f>IF(H134="","",H134/5)</f>
      </c>
      <c r="J134" s="11">
        <f>IF(H134="","",VLOOKUP(H134,Escala!$A$2:$C$7,3,FALSE))</f>
      </c>
    </row>
    <row r="135" spans="1:10" x14ac:dyDescent="0.25">
      <c r="A135" s="12">
        <v>134</v>
      </c>
      <c r="B135" s="12" t="s">
        <v>350</v>
      </c>
      <c r="C135" s="13" t="s">
        <v>351</v>
      </c>
      <c r="D135" s="12" t="s">
        <v>352</v>
      </c>
      <c r="E135" s="13" t="s">
        <v>353</v>
      </c>
      <c r="F135" s="12" t="s">
        <v>358</v>
      </c>
      <c r="G135" s="13" t="s">
        <v>359</v>
      </c>
      <c r="H135" s="9"/>
      <c r="I135" s="10">
        <f>IF(H135="","",H135/5)</f>
      </c>
      <c r="J135" s="11">
        <f>IF(H135="","",VLOOKUP(H135,Escala!$A$2:$C$7,3,FALSE))</f>
      </c>
    </row>
    <row r="136" spans="1:10" x14ac:dyDescent="0.25">
      <c r="A136">
        <v>135</v>
      </c>
      <c r="B136" t="s">
        <v>350</v>
      </c>
      <c r="C136" s="8" t="s">
        <v>351</v>
      </c>
      <c r="D136" t="s">
        <v>352</v>
      </c>
      <c r="E136" s="8" t="s">
        <v>353</v>
      </c>
      <c r="F136" t="s">
        <v>360</v>
      </c>
      <c r="G136" s="8" t="s">
        <v>361</v>
      </c>
      <c r="H136" s="9"/>
      <c r="I136" s="10">
        <f>IF(H136="","",H136/5)</f>
      </c>
      <c r="J136" s="11">
        <f>IF(H136="","",VLOOKUP(H136,Escala!$A$2:$C$7,3,FALSE))</f>
      </c>
    </row>
    <row r="137" spans="1:10" x14ac:dyDescent="0.25">
      <c r="A137" s="12">
        <v>136</v>
      </c>
      <c r="B137" s="12" t="s">
        <v>350</v>
      </c>
      <c r="C137" s="13" t="s">
        <v>351</v>
      </c>
      <c r="D137" s="12" t="s">
        <v>352</v>
      </c>
      <c r="E137" s="13" t="s">
        <v>353</v>
      </c>
      <c r="F137" s="12" t="s">
        <v>362</v>
      </c>
      <c r="G137" s="13" t="s">
        <v>363</v>
      </c>
      <c r="H137" s="9"/>
      <c r="I137" s="10">
        <f>IF(H137="","",H137/5)</f>
      </c>
      <c r="J137" s="11">
        <f>IF(H137="","",VLOOKUP(H137,Escala!$A$2:$C$7,3,FALSE))</f>
      </c>
    </row>
    <row r="138" spans="1:10" x14ac:dyDescent="0.25">
      <c r="A138">
        <v>137</v>
      </c>
      <c r="B138" t="s">
        <v>350</v>
      </c>
      <c r="C138" s="8" t="s">
        <v>351</v>
      </c>
      <c r="D138" t="s">
        <v>352</v>
      </c>
      <c r="E138" s="8" t="s">
        <v>353</v>
      </c>
      <c r="F138" t="s">
        <v>364</v>
      </c>
      <c r="G138" s="8" t="s">
        <v>365</v>
      </c>
      <c r="H138" s="9"/>
      <c r="I138" s="10">
        <f>IF(H138="","",H138/5)</f>
      </c>
      <c r="J138" s="11">
        <f>IF(H138="","",VLOOKUP(H138,Escala!$A$2:$C$7,3,FALSE))</f>
      </c>
    </row>
    <row r="139" spans="1:10" x14ac:dyDescent="0.25">
      <c r="A139" s="12">
        <v>138</v>
      </c>
      <c r="B139" s="12" t="s">
        <v>350</v>
      </c>
      <c r="C139" s="13" t="s">
        <v>351</v>
      </c>
      <c r="D139" s="12" t="s">
        <v>352</v>
      </c>
      <c r="E139" s="13" t="s">
        <v>353</v>
      </c>
      <c r="F139" s="12" t="s">
        <v>366</v>
      </c>
      <c r="G139" s="13" t="s">
        <v>367</v>
      </c>
      <c r="H139" s="9"/>
      <c r="I139" s="10">
        <f>IF(H139="","",H139/5)</f>
      </c>
      <c r="J139" s="11">
        <f>IF(H139="","",VLOOKUP(H139,Escala!$A$2:$C$7,3,FALSE))</f>
      </c>
    </row>
    <row r="140" spans="1:10" x14ac:dyDescent="0.25">
      <c r="A140">
        <v>139</v>
      </c>
      <c r="B140" t="s">
        <v>350</v>
      </c>
      <c r="C140" s="8" t="s">
        <v>351</v>
      </c>
      <c r="D140" t="s">
        <v>368</v>
      </c>
      <c r="E140" s="8" t="s">
        <v>369</v>
      </c>
      <c r="F140" t="s">
        <v>370</v>
      </c>
      <c r="G140" s="8" t="s">
        <v>371</v>
      </c>
      <c r="H140" s="9"/>
      <c r="I140" s="10">
        <f>IF(H140="","",H140/5)</f>
      </c>
      <c r="J140" s="11">
        <f>IF(H140="","",VLOOKUP(H140,Escala!$A$2:$C$7,3,FALSE))</f>
      </c>
    </row>
    <row r="141" spans="1:10" x14ac:dyDescent="0.25">
      <c r="A141" s="12">
        <v>140</v>
      </c>
      <c r="B141" s="12" t="s">
        <v>350</v>
      </c>
      <c r="C141" s="13" t="s">
        <v>351</v>
      </c>
      <c r="D141" s="12" t="s">
        <v>368</v>
      </c>
      <c r="E141" s="13" t="s">
        <v>369</v>
      </c>
      <c r="F141" s="12" t="s">
        <v>372</v>
      </c>
      <c r="G141" s="13" t="s">
        <v>373</v>
      </c>
      <c r="H141" s="9"/>
      <c r="I141" s="10">
        <f>IF(H141="","",H141/5)</f>
      </c>
      <c r="J141" s="11">
        <f>IF(H141="","",VLOOKUP(H141,Escala!$A$2:$C$7,3,FALSE))</f>
      </c>
    </row>
    <row r="142" spans="1:10" x14ac:dyDescent="0.25">
      <c r="A142">
        <v>141</v>
      </c>
      <c r="B142" t="s">
        <v>350</v>
      </c>
      <c r="C142" s="8" t="s">
        <v>351</v>
      </c>
      <c r="D142" t="s">
        <v>368</v>
      </c>
      <c r="E142" s="8" t="s">
        <v>369</v>
      </c>
      <c r="F142" t="s">
        <v>374</v>
      </c>
      <c r="G142" s="8" t="s">
        <v>375</v>
      </c>
      <c r="H142" s="9"/>
      <c r="I142" s="10">
        <f>IF(H142="","",H142/5)</f>
      </c>
      <c r="J142" s="11">
        <f>IF(H142="","",VLOOKUP(H142,Escala!$A$2:$C$7,3,FALSE))</f>
      </c>
    </row>
    <row r="143" spans="1:10" x14ac:dyDescent="0.25">
      <c r="A143" s="12">
        <v>142</v>
      </c>
      <c r="B143" s="12" t="s">
        <v>350</v>
      </c>
      <c r="C143" s="13" t="s">
        <v>351</v>
      </c>
      <c r="D143" s="12" t="s">
        <v>368</v>
      </c>
      <c r="E143" s="13" t="s">
        <v>369</v>
      </c>
      <c r="F143" s="12" t="s">
        <v>376</v>
      </c>
      <c r="G143" s="13" t="s">
        <v>377</v>
      </c>
      <c r="H143" s="9"/>
      <c r="I143" s="10">
        <f>IF(H143="","",H143/5)</f>
      </c>
      <c r="J143" s="11">
        <f>IF(H143="","",VLOOKUP(H143,Escala!$A$2:$C$7,3,FALSE))</f>
      </c>
    </row>
    <row r="144" spans="1:10" x14ac:dyDescent="0.25">
      <c r="A144">
        <v>143</v>
      </c>
      <c r="B144" t="s">
        <v>350</v>
      </c>
      <c r="C144" s="8" t="s">
        <v>351</v>
      </c>
      <c r="D144" t="s">
        <v>368</v>
      </c>
      <c r="E144" s="8" t="s">
        <v>369</v>
      </c>
      <c r="F144" t="s">
        <v>378</v>
      </c>
      <c r="G144" s="8" t="s">
        <v>379</v>
      </c>
      <c r="H144" s="9"/>
      <c r="I144" s="10">
        <f>IF(H144="","",H144/5)</f>
      </c>
      <c r="J144" s="11">
        <f>IF(H144="","",VLOOKUP(H144,Escala!$A$2:$C$7,3,FALSE))</f>
      </c>
    </row>
    <row r="145" spans="1:10" x14ac:dyDescent="0.25">
      <c r="A145" s="12">
        <v>144</v>
      </c>
      <c r="B145" s="12" t="s">
        <v>350</v>
      </c>
      <c r="C145" s="13" t="s">
        <v>351</v>
      </c>
      <c r="D145" s="12" t="s">
        <v>368</v>
      </c>
      <c r="E145" s="13" t="s">
        <v>369</v>
      </c>
      <c r="F145" s="12" t="s">
        <v>380</v>
      </c>
      <c r="G145" s="13" t="s">
        <v>381</v>
      </c>
      <c r="H145" s="9"/>
      <c r="I145" s="10">
        <f>IF(H145="","",H145/5)</f>
      </c>
      <c r="J145" s="11">
        <f>IF(H145="","",VLOOKUP(H145,Escala!$A$2:$C$7,3,FALSE))</f>
      </c>
    </row>
    <row r="146" spans="1:10" x14ac:dyDescent="0.25">
      <c r="A146">
        <v>145</v>
      </c>
      <c r="B146" t="s">
        <v>350</v>
      </c>
      <c r="C146" s="8" t="s">
        <v>351</v>
      </c>
      <c r="D146" t="s">
        <v>368</v>
      </c>
      <c r="E146" s="8" t="s">
        <v>369</v>
      </c>
      <c r="F146" t="s">
        <v>382</v>
      </c>
      <c r="G146" s="8" t="s">
        <v>383</v>
      </c>
      <c r="H146" s="9"/>
      <c r="I146" s="10">
        <f>IF(H146="","",H146/5)</f>
      </c>
      <c r="J146" s="11">
        <f>IF(H146="","",VLOOKUP(H146,Escala!$A$2:$C$7,3,FALSE))</f>
      </c>
    </row>
    <row r="147" spans="1:10" x14ac:dyDescent="0.25">
      <c r="A147" s="12">
        <v>146</v>
      </c>
      <c r="B147" s="12" t="s">
        <v>350</v>
      </c>
      <c r="C147" s="13" t="s">
        <v>351</v>
      </c>
      <c r="D147" s="12" t="s">
        <v>368</v>
      </c>
      <c r="E147" s="13" t="s">
        <v>369</v>
      </c>
      <c r="F147" s="12" t="s">
        <v>384</v>
      </c>
      <c r="G147" s="13" t="s">
        <v>385</v>
      </c>
      <c r="H147" s="9"/>
      <c r="I147" s="10">
        <f>IF(H147="","",H147/5)</f>
      </c>
      <c r="J147" s="11">
        <f>IF(H147="","",VLOOKUP(H147,Escala!$A$2:$C$7,3,FALSE))</f>
      </c>
    </row>
    <row r="148" spans="1:10" x14ac:dyDescent="0.25">
      <c r="A148">
        <v>147</v>
      </c>
      <c r="B148" t="s">
        <v>350</v>
      </c>
      <c r="C148" s="8" t="s">
        <v>351</v>
      </c>
      <c r="D148" t="s">
        <v>368</v>
      </c>
      <c r="E148" s="8" t="s">
        <v>369</v>
      </c>
      <c r="F148" t="s">
        <v>386</v>
      </c>
      <c r="G148" s="8" t="s">
        <v>387</v>
      </c>
      <c r="H148" s="9"/>
      <c r="I148" s="10">
        <f>IF(H148="","",H148/5)</f>
      </c>
      <c r="J148" s="11">
        <f>IF(H148="","",VLOOKUP(H148,Escala!$A$2:$C$7,3,FALSE))</f>
      </c>
    </row>
    <row r="149" spans="1:10" x14ac:dyDescent="0.25">
      <c r="A149" s="12">
        <v>148</v>
      </c>
      <c r="B149" s="12" t="s">
        <v>350</v>
      </c>
      <c r="C149" s="13" t="s">
        <v>351</v>
      </c>
      <c r="D149" s="12" t="s">
        <v>368</v>
      </c>
      <c r="E149" s="13" t="s">
        <v>369</v>
      </c>
      <c r="F149" s="12" t="s">
        <v>388</v>
      </c>
      <c r="G149" s="13" t="s">
        <v>389</v>
      </c>
      <c r="H149" s="9"/>
      <c r="I149" s="10">
        <f>IF(H149="","",H149/5)</f>
      </c>
      <c r="J149" s="11">
        <f>IF(H149="","",VLOOKUP(H149,Escala!$A$2:$C$7,3,FALSE))</f>
      </c>
    </row>
    <row r="150" spans="1:10" x14ac:dyDescent="0.25">
      <c r="A150">
        <v>149</v>
      </c>
      <c r="B150" t="s">
        <v>350</v>
      </c>
      <c r="C150" s="8" t="s">
        <v>351</v>
      </c>
      <c r="D150" t="s">
        <v>368</v>
      </c>
      <c r="E150" s="8" t="s">
        <v>369</v>
      </c>
      <c r="F150" t="s">
        <v>390</v>
      </c>
      <c r="G150" s="8" t="s">
        <v>391</v>
      </c>
      <c r="H150" s="9"/>
      <c r="I150" s="10">
        <f>IF(H150="","",H150/5)</f>
      </c>
      <c r="J150" s="11">
        <f>IF(H150="","",VLOOKUP(H150,Escala!$A$2:$C$7,3,FALSE))</f>
      </c>
    </row>
    <row r="151" spans="1:10" x14ac:dyDescent="0.25">
      <c r="A151" s="12">
        <v>150</v>
      </c>
      <c r="B151" s="12" t="s">
        <v>350</v>
      </c>
      <c r="C151" s="13" t="s">
        <v>351</v>
      </c>
      <c r="D151" s="12" t="s">
        <v>368</v>
      </c>
      <c r="E151" s="13" t="s">
        <v>369</v>
      </c>
      <c r="F151" s="12" t="s">
        <v>392</v>
      </c>
      <c r="G151" s="13" t="s">
        <v>393</v>
      </c>
      <c r="H151" s="9"/>
      <c r="I151" s="10">
        <f>IF(H151="","",H151/5)</f>
      </c>
      <c r="J151" s="11">
        <f>IF(H151="","",VLOOKUP(H151,Escala!$A$2:$C$7,3,FALSE))</f>
      </c>
    </row>
    <row r="152" spans="1:10" x14ac:dyDescent="0.25">
      <c r="A152">
        <v>151</v>
      </c>
      <c r="B152" t="s">
        <v>350</v>
      </c>
      <c r="C152" s="8" t="s">
        <v>351</v>
      </c>
      <c r="D152" t="s">
        <v>368</v>
      </c>
      <c r="E152" s="8" t="s">
        <v>369</v>
      </c>
      <c r="F152" t="s">
        <v>394</v>
      </c>
      <c r="G152" s="8" t="s">
        <v>395</v>
      </c>
      <c r="H152" s="9"/>
      <c r="I152" s="10">
        <f>IF(H152="","",H152/5)</f>
      </c>
      <c r="J152" s="11">
        <f>IF(H152="","",VLOOKUP(H152,Escala!$A$2:$C$7,3,FALSE))</f>
      </c>
    </row>
    <row r="153" spans="1:10" x14ac:dyDescent="0.25">
      <c r="A153" s="12">
        <v>152</v>
      </c>
      <c r="B153" s="12" t="s">
        <v>350</v>
      </c>
      <c r="C153" s="13" t="s">
        <v>351</v>
      </c>
      <c r="D153" s="12" t="s">
        <v>396</v>
      </c>
      <c r="E153" s="13" t="s">
        <v>397</v>
      </c>
      <c r="F153" s="12" t="s">
        <v>398</v>
      </c>
      <c r="G153" s="13" t="s">
        <v>399</v>
      </c>
      <c r="H153" s="9"/>
      <c r="I153" s="10">
        <f>IF(H153="","",H153/5)</f>
      </c>
      <c r="J153" s="11">
        <f>IF(H153="","",VLOOKUP(H153,Escala!$A$2:$C$7,3,FALSE))</f>
      </c>
    </row>
    <row r="154" spans="1:10" x14ac:dyDescent="0.25">
      <c r="A154">
        <v>153</v>
      </c>
      <c r="B154" t="s">
        <v>350</v>
      </c>
      <c r="C154" s="8" t="s">
        <v>351</v>
      </c>
      <c r="D154" t="s">
        <v>396</v>
      </c>
      <c r="E154" s="8" t="s">
        <v>397</v>
      </c>
      <c r="F154" t="s">
        <v>400</v>
      </c>
      <c r="G154" s="8" t="s">
        <v>401</v>
      </c>
      <c r="H154" s="9"/>
      <c r="I154" s="10">
        <f>IF(H154="","",H154/5)</f>
      </c>
      <c r="J154" s="11">
        <f>IF(H154="","",VLOOKUP(H154,Escala!$A$2:$C$7,3,FALSE))</f>
      </c>
    </row>
    <row r="155" spans="1:10" x14ac:dyDescent="0.25">
      <c r="A155" s="12">
        <v>154</v>
      </c>
      <c r="B155" s="12" t="s">
        <v>350</v>
      </c>
      <c r="C155" s="13" t="s">
        <v>351</v>
      </c>
      <c r="D155" s="12" t="s">
        <v>396</v>
      </c>
      <c r="E155" s="13" t="s">
        <v>397</v>
      </c>
      <c r="F155" s="12" t="s">
        <v>402</v>
      </c>
      <c r="G155" s="13" t="s">
        <v>403</v>
      </c>
      <c r="H155" s="9"/>
      <c r="I155" s="10">
        <f>IF(H155="","",H155/5)</f>
      </c>
      <c r="J155" s="11">
        <f>IF(H155="","",VLOOKUP(H155,Escala!$A$2:$C$7,3,FALSE))</f>
      </c>
    </row>
    <row r="156" spans="1:10" x14ac:dyDescent="0.25">
      <c r="A156">
        <v>155</v>
      </c>
      <c r="B156" t="s">
        <v>350</v>
      </c>
      <c r="C156" s="8" t="s">
        <v>351</v>
      </c>
      <c r="D156" t="s">
        <v>396</v>
      </c>
      <c r="E156" s="8" t="s">
        <v>397</v>
      </c>
      <c r="F156" t="s">
        <v>404</v>
      </c>
      <c r="G156" s="8" t="s">
        <v>405</v>
      </c>
      <c r="H156" s="9"/>
      <c r="I156" s="10">
        <f>IF(H156="","",H156/5)</f>
      </c>
      <c r="J156" s="11">
        <f>IF(H156="","",VLOOKUP(H156,Escala!$A$2:$C$7,3,FALSE))</f>
      </c>
    </row>
    <row r="157" spans="1:10" x14ac:dyDescent="0.25">
      <c r="A157" s="12">
        <v>156</v>
      </c>
      <c r="B157" s="12" t="s">
        <v>350</v>
      </c>
      <c r="C157" s="13" t="s">
        <v>351</v>
      </c>
      <c r="D157" s="12" t="s">
        <v>396</v>
      </c>
      <c r="E157" s="13" t="s">
        <v>397</v>
      </c>
      <c r="F157" s="12" t="s">
        <v>406</v>
      </c>
      <c r="G157" s="13" t="s">
        <v>407</v>
      </c>
      <c r="H157" s="9"/>
      <c r="I157" s="10">
        <f>IF(H157="","",H157/5)</f>
      </c>
      <c r="J157" s="11">
        <f>IF(H157="","",VLOOKUP(H157,Escala!$A$2:$C$7,3,FALSE))</f>
      </c>
    </row>
    <row r="158" spans="1:10" x14ac:dyDescent="0.25">
      <c r="A158">
        <v>157</v>
      </c>
      <c r="B158" t="s">
        <v>350</v>
      </c>
      <c r="C158" s="8" t="s">
        <v>351</v>
      </c>
      <c r="D158" t="s">
        <v>396</v>
      </c>
      <c r="E158" s="8" t="s">
        <v>397</v>
      </c>
      <c r="F158" t="s">
        <v>408</v>
      </c>
      <c r="G158" s="8" t="s">
        <v>409</v>
      </c>
      <c r="H158" s="9"/>
      <c r="I158" s="10">
        <f>IF(H158="","",H158/5)</f>
      </c>
      <c r="J158" s="11">
        <f>IF(H158="","",VLOOKUP(H158,Escala!$A$2:$C$7,3,FALSE))</f>
      </c>
    </row>
    <row r="159" spans="1:10" x14ac:dyDescent="0.25">
      <c r="A159" s="12">
        <v>158</v>
      </c>
      <c r="B159" s="12" t="s">
        <v>350</v>
      </c>
      <c r="C159" s="13" t="s">
        <v>351</v>
      </c>
      <c r="D159" s="12" t="s">
        <v>396</v>
      </c>
      <c r="E159" s="13" t="s">
        <v>397</v>
      </c>
      <c r="F159" s="12" t="s">
        <v>410</v>
      </c>
      <c r="G159" s="13" t="s">
        <v>411</v>
      </c>
      <c r="H159" s="9"/>
      <c r="I159" s="10">
        <f>IF(H159="","",H159/5)</f>
      </c>
      <c r="J159" s="11">
        <f>IF(H159="","",VLOOKUP(H159,Escala!$A$2:$C$7,3,FALSE))</f>
      </c>
    </row>
    <row r="160" spans="1:10" x14ac:dyDescent="0.25">
      <c r="A160">
        <v>159</v>
      </c>
      <c r="B160" t="s">
        <v>350</v>
      </c>
      <c r="C160" s="8" t="s">
        <v>351</v>
      </c>
      <c r="D160" t="s">
        <v>396</v>
      </c>
      <c r="E160" s="8" t="s">
        <v>397</v>
      </c>
      <c r="F160" t="s">
        <v>412</v>
      </c>
      <c r="G160" s="8" t="s">
        <v>413</v>
      </c>
      <c r="H160" s="9"/>
      <c r="I160" s="10">
        <f>IF(H160="","",H160/5)</f>
      </c>
      <c r="J160" s="11">
        <f>IF(H160="","",VLOOKUP(H160,Escala!$A$2:$C$7,3,FALSE))</f>
      </c>
    </row>
    <row r="161" spans="1:10" x14ac:dyDescent="0.25">
      <c r="A161" s="12">
        <v>160</v>
      </c>
      <c r="B161" s="12" t="s">
        <v>350</v>
      </c>
      <c r="C161" s="13" t="s">
        <v>351</v>
      </c>
      <c r="D161" s="12" t="s">
        <v>396</v>
      </c>
      <c r="E161" s="13" t="s">
        <v>397</v>
      </c>
      <c r="F161" s="12" t="s">
        <v>414</v>
      </c>
      <c r="G161" s="13" t="s">
        <v>415</v>
      </c>
      <c r="H161" s="9"/>
      <c r="I161" s="10">
        <f>IF(H161="","",H161/5)</f>
      </c>
      <c r="J161" s="11">
        <f>IF(H161="","",VLOOKUP(H161,Escala!$A$2:$C$7,3,FALSE))</f>
      </c>
    </row>
    <row r="162" spans="1:10" x14ac:dyDescent="0.25">
      <c r="A162">
        <v>161</v>
      </c>
      <c r="B162" t="s">
        <v>350</v>
      </c>
      <c r="C162" s="8" t="s">
        <v>351</v>
      </c>
      <c r="D162" t="s">
        <v>396</v>
      </c>
      <c r="E162" s="8" t="s">
        <v>397</v>
      </c>
      <c r="F162" t="s">
        <v>416</v>
      </c>
      <c r="G162" s="8" t="s">
        <v>417</v>
      </c>
      <c r="H162" s="9"/>
      <c r="I162" s="10">
        <f>IF(H162="","",H162/5)</f>
      </c>
      <c r="J162" s="11">
        <f>IF(H162="","",VLOOKUP(H162,Escala!$A$2:$C$7,3,FALSE))</f>
      </c>
    </row>
    <row r="163" spans="1:10" x14ac:dyDescent="0.25">
      <c r="A163" s="12">
        <v>162</v>
      </c>
      <c r="B163" s="12" t="s">
        <v>350</v>
      </c>
      <c r="C163" s="13" t="s">
        <v>351</v>
      </c>
      <c r="D163" s="12" t="s">
        <v>396</v>
      </c>
      <c r="E163" s="13" t="s">
        <v>397</v>
      </c>
      <c r="F163" s="12" t="s">
        <v>418</v>
      </c>
      <c r="G163" s="13" t="s">
        <v>419</v>
      </c>
      <c r="H163" s="9"/>
      <c r="I163" s="10">
        <f>IF(H163="","",H163/5)</f>
      </c>
      <c r="J163" s="11">
        <f>IF(H163="","",VLOOKUP(H163,Escala!$A$2:$C$7,3,FALSE))</f>
      </c>
    </row>
    <row r="164" spans="1:10" x14ac:dyDescent="0.25">
      <c r="A164">
        <v>163</v>
      </c>
      <c r="B164" t="s">
        <v>350</v>
      </c>
      <c r="C164" s="8" t="s">
        <v>351</v>
      </c>
      <c r="D164" t="s">
        <v>396</v>
      </c>
      <c r="E164" s="8" t="s">
        <v>397</v>
      </c>
      <c r="F164" t="s">
        <v>420</v>
      </c>
      <c r="G164" s="8" t="s">
        <v>421</v>
      </c>
      <c r="H164" s="9"/>
      <c r="I164" s="10">
        <f>IF(H164="","",H164/5)</f>
      </c>
      <c r="J164" s="11">
        <f>IF(H164="","",VLOOKUP(H164,Escala!$A$2:$C$7,3,FALSE))</f>
      </c>
    </row>
    <row r="165" spans="1:10" x14ac:dyDescent="0.25">
      <c r="A165" s="12">
        <v>164</v>
      </c>
      <c r="B165" s="12" t="s">
        <v>350</v>
      </c>
      <c r="C165" s="13" t="s">
        <v>351</v>
      </c>
      <c r="D165" s="12" t="s">
        <v>396</v>
      </c>
      <c r="E165" s="13" t="s">
        <v>397</v>
      </c>
      <c r="F165" s="12" t="s">
        <v>422</v>
      </c>
      <c r="G165" s="13" t="s">
        <v>423</v>
      </c>
      <c r="H165" s="9"/>
      <c r="I165" s="10">
        <f>IF(H165="","",H165/5)</f>
      </c>
      <c r="J165" s="11">
        <f>IF(H165="","",VLOOKUP(H165,Escala!$A$2:$C$7,3,FALSE))</f>
      </c>
    </row>
    <row r="166" spans="1:10" x14ac:dyDescent="0.25">
      <c r="A166">
        <v>165</v>
      </c>
      <c r="B166" t="s">
        <v>350</v>
      </c>
      <c r="C166" s="8" t="s">
        <v>351</v>
      </c>
      <c r="D166" t="s">
        <v>396</v>
      </c>
      <c r="E166" s="8" t="s">
        <v>397</v>
      </c>
      <c r="F166" t="s">
        <v>424</v>
      </c>
      <c r="G166" s="8" t="s">
        <v>425</v>
      </c>
      <c r="H166" s="9"/>
      <c r="I166" s="10">
        <f>IF(H166="","",H166/5)</f>
      </c>
      <c r="J166" s="11">
        <f>IF(H166="","",VLOOKUP(H166,Escala!$A$2:$C$7,3,FALSE))</f>
      </c>
    </row>
    <row r="167" spans="1:10" x14ac:dyDescent="0.25">
      <c r="A167" s="12">
        <v>166</v>
      </c>
      <c r="B167" s="12" t="s">
        <v>350</v>
      </c>
      <c r="C167" s="13" t="s">
        <v>351</v>
      </c>
      <c r="D167" s="12" t="s">
        <v>396</v>
      </c>
      <c r="E167" s="13" t="s">
        <v>397</v>
      </c>
      <c r="F167" s="12" t="s">
        <v>426</v>
      </c>
      <c r="G167" s="13" t="s">
        <v>427</v>
      </c>
      <c r="H167" s="9"/>
      <c r="I167" s="10">
        <f>IF(H167="","",H167/5)</f>
      </c>
      <c r="J167" s="11">
        <f>IF(H167="","",VLOOKUP(H167,Escala!$A$2:$C$7,3,FALSE))</f>
      </c>
    </row>
    <row r="168" spans="1:10" x14ac:dyDescent="0.25">
      <c r="A168">
        <v>167</v>
      </c>
      <c r="B168" t="s">
        <v>350</v>
      </c>
      <c r="C168" s="8" t="s">
        <v>351</v>
      </c>
      <c r="D168" t="s">
        <v>396</v>
      </c>
      <c r="E168" s="8" t="s">
        <v>397</v>
      </c>
      <c r="F168" t="s">
        <v>428</v>
      </c>
      <c r="G168" s="8" t="s">
        <v>429</v>
      </c>
      <c r="H168" s="9"/>
      <c r="I168" s="10">
        <f>IF(H168="","",H168/5)</f>
      </c>
      <c r="J168" s="11">
        <f>IF(H168="","",VLOOKUP(H168,Escala!$A$2:$C$7,3,FALSE))</f>
      </c>
    </row>
    <row r="169" spans="1:10" x14ac:dyDescent="0.25">
      <c r="A169" s="12">
        <v>168</v>
      </c>
      <c r="B169" s="12" t="s">
        <v>350</v>
      </c>
      <c r="C169" s="13" t="s">
        <v>351</v>
      </c>
      <c r="D169" s="12" t="s">
        <v>396</v>
      </c>
      <c r="E169" s="13" t="s">
        <v>397</v>
      </c>
      <c r="F169" s="12" t="s">
        <v>430</v>
      </c>
      <c r="G169" s="13" t="s">
        <v>431</v>
      </c>
      <c r="H169" s="9"/>
      <c r="I169" s="10">
        <f>IF(H169="","",H169/5)</f>
      </c>
      <c r="J169" s="11">
        <f>IF(H169="","",VLOOKUP(H169,Escala!$A$2:$C$7,3,FALSE))</f>
      </c>
    </row>
    <row r="170" spans="1:10" x14ac:dyDescent="0.25">
      <c r="A170">
        <v>169</v>
      </c>
      <c r="B170" t="s">
        <v>350</v>
      </c>
      <c r="C170" s="8" t="s">
        <v>351</v>
      </c>
      <c r="D170" t="s">
        <v>396</v>
      </c>
      <c r="E170" s="8" t="s">
        <v>397</v>
      </c>
      <c r="F170" t="s">
        <v>432</v>
      </c>
      <c r="G170" s="8" t="s">
        <v>433</v>
      </c>
      <c r="H170" s="9"/>
      <c r="I170" s="10">
        <f>IF(H170="","",H170/5)</f>
      </c>
      <c r="J170" s="11">
        <f>IF(H170="","",VLOOKUP(H170,Escala!$A$2:$C$7,3,FALSE))</f>
      </c>
    </row>
    <row r="171" spans="1:10" x14ac:dyDescent="0.25">
      <c r="A171" s="12">
        <v>170</v>
      </c>
      <c r="B171" s="12" t="s">
        <v>350</v>
      </c>
      <c r="C171" s="13" t="s">
        <v>351</v>
      </c>
      <c r="D171" s="12" t="s">
        <v>396</v>
      </c>
      <c r="E171" s="13" t="s">
        <v>397</v>
      </c>
      <c r="F171" s="12" t="s">
        <v>434</v>
      </c>
      <c r="G171" s="13" t="s">
        <v>435</v>
      </c>
      <c r="H171" s="9"/>
      <c r="I171" s="10">
        <f>IF(H171="","",H171/5)</f>
      </c>
      <c r="J171" s="11">
        <f>IF(H171="","",VLOOKUP(H171,Escala!$A$2:$C$7,3,FALSE))</f>
      </c>
    </row>
    <row r="172" spans="1:10" x14ac:dyDescent="0.25">
      <c r="A172">
        <v>171</v>
      </c>
      <c r="B172" t="s">
        <v>350</v>
      </c>
      <c r="C172" s="8" t="s">
        <v>351</v>
      </c>
      <c r="D172" t="s">
        <v>396</v>
      </c>
      <c r="E172" s="8" t="s">
        <v>397</v>
      </c>
      <c r="F172" t="s">
        <v>436</v>
      </c>
      <c r="G172" s="8" t="s">
        <v>437</v>
      </c>
      <c r="H172" s="9"/>
      <c r="I172" s="10">
        <f>IF(H172="","",H172/5)</f>
      </c>
      <c r="J172" s="11">
        <f>IF(H172="","",VLOOKUP(H172,Escala!$A$2:$C$7,3,FALSE))</f>
      </c>
    </row>
    <row r="173" spans="1:10" x14ac:dyDescent="0.25">
      <c r="A173" s="12">
        <v>172</v>
      </c>
      <c r="B173" s="12" t="s">
        <v>350</v>
      </c>
      <c r="C173" s="13" t="s">
        <v>351</v>
      </c>
      <c r="D173" s="12" t="s">
        <v>396</v>
      </c>
      <c r="E173" s="13" t="s">
        <v>397</v>
      </c>
      <c r="F173" s="12" t="s">
        <v>438</v>
      </c>
      <c r="G173" s="13" t="s">
        <v>439</v>
      </c>
      <c r="H173" s="9"/>
      <c r="I173" s="10">
        <f>IF(H173="","",H173/5)</f>
      </c>
      <c r="J173" s="11">
        <f>IF(H173="","",VLOOKUP(H173,Escala!$A$2:$C$7,3,FALSE))</f>
      </c>
    </row>
    <row r="174" spans="1:10" x14ac:dyDescent="0.25">
      <c r="A174">
        <v>173</v>
      </c>
      <c r="B174" t="s">
        <v>350</v>
      </c>
      <c r="C174" s="8" t="s">
        <v>351</v>
      </c>
      <c r="D174" t="s">
        <v>396</v>
      </c>
      <c r="E174" s="8" t="s">
        <v>397</v>
      </c>
      <c r="F174" t="s">
        <v>440</v>
      </c>
      <c r="G174" s="8" t="s">
        <v>441</v>
      </c>
      <c r="H174" s="9"/>
      <c r="I174" s="10">
        <f>IF(H174="","",H174/5)</f>
      </c>
      <c r="J174" s="11">
        <f>IF(H174="","",VLOOKUP(H174,Escala!$A$2:$C$7,3,FALSE))</f>
      </c>
    </row>
    <row r="175" spans="1:10" x14ac:dyDescent="0.25">
      <c r="A175" s="12">
        <v>174</v>
      </c>
      <c r="B175" s="12" t="s">
        <v>350</v>
      </c>
      <c r="C175" s="13" t="s">
        <v>351</v>
      </c>
      <c r="D175" s="12" t="s">
        <v>396</v>
      </c>
      <c r="E175" s="13" t="s">
        <v>397</v>
      </c>
      <c r="F175" s="12" t="s">
        <v>442</v>
      </c>
      <c r="G175" s="13" t="s">
        <v>443</v>
      </c>
      <c r="H175" s="9"/>
      <c r="I175" s="10">
        <f>IF(H175="","",H175/5)</f>
      </c>
      <c r="J175" s="11">
        <f>IF(H175="","",VLOOKUP(H175,Escala!$A$2:$C$7,3,FALSE))</f>
      </c>
    </row>
    <row r="176" spans="1:10" x14ac:dyDescent="0.25">
      <c r="A176">
        <v>175</v>
      </c>
      <c r="B176" t="s">
        <v>350</v>
      </c>
      <c r="C176" s="8" t="s">
        <v>351</v>
      </c>
      <c r="D176" t="s">
        <v>396</v>
      </c>
      <c r="E176" s="8" t="s">
        <v>397</v>
      </c>
      <c r="F176" t="s">
        <v>444</v>
      </c>
      <c r="G176" s="8" t="s">
        <v>445</v>
      </c>
      <c r="H176" s="9"/>
      <c r="I176" s="10">
        <f>IF(H176="","",H176/5)</f>
      </c>
      <c r="J176" s="11">
        <f>IF(H176="","",VLOOKUP(H176,Escala!$A$2:$C$7,3,FALSE))</f>
      </c>
    </row>
    <row r="177" spans="1:10" x14ac:dyDescent="0.25">
      <c r="A177" s="12">
        <v>176</v>
      </c>
      <c r="B177" s="12" t="s">
        <v>350</v>
      </c>
      <c r="C177" s="13" t="s">
        <v>351</v>
      </c>
      <c r="D177" s="12" t="s">
        <v>396</v>
      </c>
      <c r="E177" s="13" t="s">
        <v>397</v>
      </c>
      <c r="F177" s="12" t="s">
        <v>446</v>
      </c>
      <c r="G177" s="13" t="s">
        <v>447</v>
      </c>
      <c r="H177" s="9"/>
      <c r="I177" s="10">
        <f>IF(H177="","",H177/5)</f>
      </c>
      <c r="J177" s="11">
        <f>IF(H177="","",VLOOKUP(H177,Escala!$A$2:$C$7,3,FALSE))</f>
      </c>
    </row>
    <row r="178" spans="1:10" x14ac:dyDescent="0.25">
      <c r="A178">
        <v>177</v>
      </c>
      <c r="B178" t="s">
        <v>350</v>
      </c>
      <c r="C178" s="8" t="s">
        <v>351</v>
      </c>
      <c r="D178" t="s">
        <v>396</v>
      </c>
      <c r="E178" s="8" t="s">
        <v>397</v>
      </c>
      <c r="F178" t="s">
        <v>448</v>
      </c>
      <c r="G178" s="8" t="s">
        <v>449</v>
      </c>
      <c r="H178" s="9"/>
      <c r="I178" s="10">
        <f>IF(H178="","",H178/5)</f>
      </c>
      <c r="J178" s="11">
        <f>IF(H178="","",VLOOKUP(H178,Escala!$A$2:$C$7,3,FALSE))</f>
      </c>
    </row>
    <row r="179" spans="1:10" x14ac:dyDescent="0.25">
      <c r="A179" s="12">
        <v>178</v>
      </c>
      <c r="B179" s="12" t="s">
        <v>350</v>
      </c>
      <c r="C179" s="13" t="s">
        <v>351</v>
      </c>
      <c r="D179" s="12" t="s">
        <v>396</v>
      </c>
      <c r="E179" s="13" t="s">
        <v>397</v>
      </c>
      <c r="F179" s="12" t="s">
        <v>450</v>
      </c>
      <c r="G179" s="13" t="s">
        <v>451</v>
      </c>
      <c r="H179" s="9"/>
      <c r="I179" s="10">
        <f>IF(H179="","",H179/5)</f>
      </c>
      <c r="J179" s="11">
        <f>IF(H179="","",VLOOKUP(H179,Escala!$A$2:$C$7,3,FALSE))</f>
      </c>
    </row>
    <row r="180" spans="1:10" x14ac:dyDescent="0.25">
      <c r="A180">
        <v>179</v>
      </c>
      <c r="B180" t="s">
        <v>350</v>
      </c>
      <c r="C180" s="8" t="s">
        <v>351</v>
      </c>
      <c r="D180" t="s">
        <v>396</v>
      </c>
      <c r="E180" s="8" t="s">
        <v>397</v>
      </c>
      <c r="F180" t="s">
        <v>452</v>
      </c>
      <c r="G180" s="8" t="s">
        <v>453</v>
      </c>
      <c r="H180" s="9"/>
      <c r="I180" s="10">
        <f>IF(H180="","",H180/5)</f>
      </c>
      <c r="J180" s="11">
        <f>IF(H180="","",VLOOKUP(H180,Escala!$A$2:$C$7,3,FALSE))</f>
      </c>
    </row>
    <row r="181" spans="1:10" x14ac:dyDescent="0.25">
      <c r="A181" s="12">
        <v>180</v>
      </c>
      <c r="B181" s="12" t="s">
        <v>350</v>
      </c>
      <c r="C181" s="13" t="s">
        <v>351</v>
      </c>
      <c r="D181" s="12" t="s">
        <v>396</v>
      </c>
      <c r="E181" s="13" t="s">
        <v>397</v>
      </c>
      <c r="F181" s="12" t="s">
        <v>454</v>
      </c>
      <c r="G181" s="13" t="s">
        <v>455</v>
      </c>
      <c r="H181" s="9"/>
      <c r="I181" s="10">
        <f>IF(H181="","",H181/5)</f>
      </c>
      <c r="J181" s="11">
        <f>IF(H181="","",VLOOKUP(H181,Escala!$A$2:$C$7,3,FALSE))</f>
      </c>
    </row>
    <row r="182" spans="1:10" x14ac:dyDescent="0.25">
      <c r="A182">
        <v>181</v>
      </c>
      <c r="B182" t="s">
        <v>350</v>
      </c>
      <c r="C182" s="8" t="s">
        <v>351</v>
      </c>
      <c r="D182" t="s">
        <v>396</v>
      </c>
      <c r="E182" s="8" t="s">
        <v>397</v>
      </c>
      <c r="F182" t="s">
        <v>456</v>
      </c>
      <c r="G182" s="8" t="s">
        <v>457</v>
      </c>
      <c r="H182" s="9"/>
      <c r="I182" s="10">
        <f>IF(H182="","",H182/5)</f>
      </c>
      <c r="J182" s="11">
        <f>IF(H182="","",VLOOKUP(H182,Escala!$A$2:$C$7,3,FALSE))</f>
      </c>
    </row>
    <row r="183" spans="1:10" x14ac:dyDescent="0.25">
      <c r="A183" s="12">
        <v>182</v>
      </c>
      <c r="B183" s="12" t="s">
        <v>350</v>
      </c>
      <c r="C183" s="13" t="s">
        <v>351</v>
      </c>
      <c r="D183" s="12" t="s">
        <v>396</v>
      </c>
      <c r="E183" s="13" t="s">
        <v>397</v>
      </c>
      <c r="F183" s="12" t="s">
        <v>458</v>
      </c>
      <c r="G183" s="13" t="s">
        <v>459</v>
      </c>
      <c r="H183" s="9"/>
      <c r="I183" s="10">
        <f>IF(H183="","",H183/5)</f>
      </c>
      <c r="J183" s="11">
        <f>IF(H183="","",VLOOKUP(H183,Escala!$A$2:$C$7,3,FALSE))</f>
      </c>
    </row>
    <row r="184" spans="1:10" x14ac:dyDescent="0.25">
      <c r="A184">
        <v>183</v>
      </c>
      <c r="B184" t="s">
        <v>350</v>
      </c>
      <c r="C184" s="8" t="s">
        <v>351</v>
      </c>
      <c r="D184" t="s">
        <v>460</v>
      </c>
      <c r="E184" s="8" t="s">
        <v>461</v>
      </c>
      <c r="F184" t="s">
        <v>462</v>
      </c>
      <c r="G184" s="8" t="s">
        <v>463</v>
      </c>
      <c r="H184" s="9"/>
      <c r="I184" s="10">
        <f>IF(H184="","",H184/5)</f>
      </c>
      <c r="J184" s="11">
        <f>IF(H184="","",VLOOKUP(H184,Escala!$A$2:$C$7,3,FALSE))</f>
      </c>
    </row>
    <row r="185" spans="1:10" x14ac:dyDescent="0.25">
      <c r="A185" s="12">
        <v>184</v>
      </c>
      <c r="B185" s="12" t="s">
        <v>350</v>
      </c>
      <c r="C185" s="13" t="s">
        <v>351</v>
      </c>
      <c r="D185" s="12" t="s">
        <v>460</v>
      </c>
      <c r="E185" s="13" t="s">
        <v>461</v>
      </c>
      <c r="F185" s="12" t="s">
        <v>464</v>
      </c>
      <c r="G185" s="13" t="s">
        <v>465</v>
      </c>
      <c r="H185" s="9"/>
      <c r="I185" s="10">
        <f>IF(H185="","",H185/5)</f>
      </c>
      <c r="J185" s="11">
        <f>IF(H185="","",VLOOKUP(H185,Escala!$A$2:$C$7,3,FALSE))</f>
      </c>
    </row>
    <row r="186" spans="1:10" x14ac:dyDescent="0.25">
      <c r="A186">
        <v>185</v>
      </c>
      <c r="B186" t="s">
        <v>350</v>
      </c>
      <c r="C186" s="8" t="s">
        <v>351</v>
      </c>
      <c r="D186" t="s">
        <v>460</v>
      </c>
      <c r="E186" s="8" t="s">
        <v>461</v>
      </c>
      <c r="F186" t="s">
        <v>466</v>
      </c>
      <c r="G186" s="8" t="s">
        <v>467</v>
      </c>
      <c r="H186" s="9"/>
      <c r="I186" s="10">
        <f>IF(H186="","",H186/5)</f>
      </c>
      <c r="J186" s="11">
        <f>IF(H186="","",VLOOKUP(H186,Escala!$A$2:$C$7,3,FALSE))</f>
      </c>
    </row>
    <row r="187" spans="1:10" x14ac:dyDescent="0.25">
      <c r="A187" s="12">
        <v>186</v>
      </c>
      <c r="B187" s="12" t="s">
        <v>350</v>
      </c>
      <c r="C187" s="13" t="s">
        <v>351</v>
      </c>
      <c r="D187" s="12" t="s">
        <v>460</v>
      </c>
      <c r="E187" s="13" t="s">
        <v>461</v>
      </c>
      <c r="F187" s="12" t="s">
        <v>468</v>
      </c>
      <c r="G187" s="13" t="s">
        <v>469</v>
      </c>
      <c r="H187" s="9"/>
      <c r="I187" s="10">
        <f>IF(H187="","",H187/5)</f>
      </c>
      <c r="J187" s="11">
        <f>IF(H187="","",VLOOKUP(H187,Escala!$A$2:$C$7,3,FALSE))</f>
      </c>
    </row>
    <row r="188" spans="1:10" x14ac:dyDescent="0.25">
      <c r="A188">
        <v>187</v>
      </c>
      <c r="B188" t="s">
        <v>350</v>
      </c>
      <c r="C188" s="8" t="s">
        <v>351</v>
      </c>
      <c r="D188" t="s">
        <v>460</v>
      </c>
      <c r="E188" s="8" t="s">
        <v>461</v>
      </c>
      <c r="F188" t="s">
        <v>470</v>
      </c>
      <c r="G188" s="8" t="s">
        <v>471</v>
      </c>
      <c r="H188" s="9"/>
      <c r="I188" s="10">
        <f>IF(H188="","",H188/5)</f>
      </c>
      <c r="J188" s="11">
        <f>IF(H188="","",VLOOKUP(H188,Escala!$A$2:$C$7,3,FALSE))</f>
      </c>
    </row>
    <row r="189" spans="1:10" x14ac:dyDescent="0.25">
      <c r="A189" s="12">
        <v>188</v>
      </c>
      <c r="B189" s="12" t="s">
        <v>350</v>
      </c>
      <c r="C189" s="13" t="s">
        <v>351</v>
      </c>
      <c r="D189" s="12" t="s">
        <v>460</v>
      </c>
      <c r="E189" s="13" t="s">
        <v>461</v>
      </c>
      <c r="F189" s="12" t="s">
        <v>472</v>
      </c>
      <c r="G189" s="13" t="s">
        <v>473</v>
      </c>
      <c r="H189" s="9"/>
      <c r="I189" s="10">
        <f>IF(H189="","",H189/5)</f>
      </c>
      <c r="J189" s="11">
        <f>IF(H189="","",VLOOKUP(H189,Escala!$A$2:$C$7,3,FALSE))</f>
      </c>
    </row>
    <row r="190" spans="1:10" x14ac:dyDescent="0.25">
      <c r="A190">
        <v>189</v>
      </c>
      <c r="B190" t="s">
        <v>350</v>
      </c>
      <c r="C190" s="8" t="s">
        <v>351</v>
      </c>
      <c r="D190" t="s">
        <v>460</v>
      </c>
      <c r="E190" s="8" t="s">
        <v>461</v>
      </c>
      <c r="F190" t="s">
        <v>474</v>
      </c>
      <c r="G190" s="8" t="s">
        <v>475</v>
      </c>
      <c r="H190" s="9"/>
      <c r="I190" s="10">
        <f>IF(H190="","",H190/5)</f>
      </c>
      <c r="J190" s="11">
        <f>IF(H190="","",VLOOKUP(H190,Escala!$A$2:$C$7,3,FALSE))</f>
      </c>
    </row>
    <row r="191" spans="1:10" x14ac:dyDescent="0.25">
      <c r="A191" s="12">
        <v>190</v>
      </c>
      <c r="B191" s="12" t="s">
        <v>350</v>
      </c>
      <c r="C191" s="13" t="s">
        <v>351</v>
      </c>
      <c r="D191" s="12" t="s">
        <v>460</v>
      </c>
      <c r="E191" s="13" t="s">
        <v>461</v>
      </c>
      <c r="F191" s="12" t="s">
        <v>476</v>
      </c>
      <c r="G191" s="13" t="s">
        <v>477</v>
      </c>
      <c r="H191" s="9"/>
      <c r="I191" s="10">
        <f>IF(H191="","",H191/5)</f>
      </c>
      <c r="J191" s="11">
        <f>IF(H191="","",VLOOKUP(H191,Escala!$A$2:$C$7,3,FALSE))</f>
      </c>
    </row>
    <row r="192" spans="1:10" x14ac:dyDescent="0.25">
      <c r="A192">
        <v>191</v>
      </c>
      <c r="B192" t="s">
        <v>350</v>
      </c>
      <c r="C192" s="8" t="s">
        <v>351</v>
      </c>
      <c r="D192" t="s">
        <v>460</v>
      </c>
      <c r="E192" s="8" t="s">
        <v>461</v>
      </c>
      <c r="F192" t="s">
        <v>478</v>
      </c>
      <c r="G192" s="8" t="s">
        <v>479</v>
      </c>
      <c r="H192" s="9"/>
      <c r="I192" s="10">
        <f>IF(H192="","",H192/5)</f>
      </c>
      <c r="J192" s="11">
        <f>IF(H192="","",VLOOKUP(H192,Escala!$A$2:$C$7,3,FALSE))</f>
      </c>
    </row>
    <row r="193" spans="1:10" x14ac:dyDescent="0.25">
      <c r="A193" s="12">
        <v>192</v>
      </c>
      <c r="B193" s="12" t="s">
        <v>350</v>
      </c>
      <c r="C193" s="13" t="s">
        <v>351</v>
      </c>
      <c r="D193" s="12" t="s">
        <v>460</v>
      </c>
      <c r="E193" s="13" t="s">
        <v>461</v>
      </c>
      <c r="F193" s="12" t="s">
        <v>480</v>
      </c>
      <c r="G193" s="13" t="s">
        <v>481</v>
      </c>
      <c r="H193" s="9"/>
      <c r="I193" s="10">
        <f>IF(H193="","",H193/5)</f>
      </c>
      <c r="J193" s="11">
        <f>IF(H193="","",VLOOKUP(H193,Escala!$A$2:$C$7,3,FALSE))</f>
      </c>
    </row>
    <row r="194" spans="1:10" x14ac:dyDescent="0.25">
      <c r="A194">
        <v>193</v>
      </c>
      <c r="B194" t="s">
        <v>350</v>
      </c>
      <c r="C194" s="8" t="s">
        <v>351</v>
      </c>
      <c r="D194" t="s">
        <v>460</v>
      </c>
      <c r="E194" s="8" t="s">
        <v>461</v>
      </c>
      <c r="F194" t="s">
        <v>482</v>
      </c>
      <c r="G194" s="8" t="s">
        <v>483</v>
      </c>
      <c r="H194" s="9"/>
      <c r="I194" s="10">
        <f>IF(H194="","",H194/5)</f>
      </c>
      <c r="J194" s="11">
        <f>IF(H194="","",VLOOKUP(H194,Escala!$A$2:$C$7,3,FALSE))</f>
      </c>
    </row>
    <row r="195" spans="1:10" x14ac:dyDescent="0.25">
      <c r="A195" s="12">
        <v>194</v>
      </c>
      <c r="B195" s="12" t="s">
        <v>350</v>
      </c>
      <c r="C195" s="13" t="s">
        <v>351</v>
      </c>
      <c r="D195" s="12" t="s">
        <v>460</v>
      </c>
      <c r="E195" s="13" t="s">
        <v>461</v>
      </c>
      <c r="F195" s="12" t="s">
        <v>484</v>
      </c>
      <c r="G195" s="13" t="s">
        <v>485</v>
      </c>
      <c r="H195" s="9"/>
      <c r="I195" s="10">
        <f>IF(H195="","",H195/5)</f>
      </c>
      <c r="J195" s="11">
        <f>IF(H195="","",VLOOKUP(H195,Escala!$A$2:$C$7,3,FALSE))</f>
      </c>
    </row>
    <row r="196" spans="1:10" x14ac:dyDescent="0.25">
      <c r="A196">
        <v>195</v>
      </c>
      <c r="B196" t="s">
        <v>350</v>
      </c>
      <c r="C196" s="8" t="s">
        <v>351</v>
      </c>
      <c r="D196" t="s">
        <v>460</v>
      </c>
      <c r="E196" s="8" t="s">
        <v>461</v>
      </c>
      <c r="F196" t="s">
        <v>486</v>
      </c>
      <c r="G196" s="8" t="s">
        <v>487</v>
      </c>
      <c r="H196" s="9"/>
      <c r="I196" s="10">
        <f>IF(H196="","",H196/5)</f>
      </c>
      <c r="J196" s="11">
        <f>IF(H196="","",VLOOKUP(H196,Escala!$A$2:$C$7,3,FALSE))</f>
      </c>
    </row>
    <row r="197" spans="1:10" x14ac:dyDescent="0.25">
      <c r="A197" s="12">
        <v>196</v>
      </c>
      <c r="B197" s="12" t="s">
        <v>350</v>
      </c>
      <c r="C197" s="13" t="s">
        <v>351</v>
      </c>
      <c r="D197" s="12" t="s">
        <v>488</v>
      </c>
      <c r="E197" s="13" t="s">
        <v>489</v>
      </c>
      <c r="F197" s="12" t="s">
        <v>490</v>
      </c>
      <c r="G197" s="13" t="s">
        <v>491</v>
      </c>
      <c r="H197" s="9"/>
      <c r="I197" s="10">
        <f>IF(H197="","",H197/5)</f>
      </c>
      <c r="J197" s="11">
        <f>IF(H197="","",VLOOKUP(H197,Escala!$A$2:$C$7,3,FALSE))</f>
      </c>
    </row>
    <row r="198" spans="1:10" x14ac:dyDescent="0.25">
      <c r="A198">
        <v>197</v>
      </c>
      <c r="B198" t="s">
        <v>350</v>
      </c>
      <c r="C198" s="8" t="s">
        <v>351</v>
      </c>
      <c r="D198" t="s">
        <v>488</v>
      </c>
      <c r="E198" s="8" t="s">
        <v>489</v>
      </c>
      <c r="F198" t="s">
        <v>492</v>
      </c>
      <c r="G198" s="8" t="s">
        <v>493</v>
      </c>
      <c r="H198" s="9"/>
      <c r="I198" s="10">
        <f>IF(H198="","",H198/5)</f>
      </c>
      <c r="J198" s="11">
        <f>IF(H198="","",VLOOKUP(H198,Escala!$A$2:$C$7,3,FALSE))</f>
      </c>
    </row>
    <row r="199" spans="1:10" x14ac:dyDescent="0.25">
      <c r="A199" s="12">
        <v>198</v>
      </c>
      <c r="B199" s="12" t="s">
        <v>350</v>
      </c>
      <c r="C199" s="13" t="s">
        <v>351</v>
      </c>
      <c r="D199" s="12" t="s">
        <v>488</v>
      </c>
      <c r="E199" s="13" t="s">
        <v>489</v>
      </c>
      <c r="F199" s="12" t="s">
        <v>494</v>
      </c>
      <c r="G199" s="13" t="s">
        <v>495</v>
      </c>
      <c r="H199" s="9"/>
      <c r="I199" s="10">
        <f>IF(H199="","",H199/5)</f>
      </c>
      <c r="J199" s="11">
        <f>IF(H199="","",VLOOKUP(H199,Escala!$A$2:$C$7,3,FALSE))</f>
      </c>
    </row>
    <row r="200" spans="1:10" x14ac:dyDescent="0.25">
      <c r="A200">
        <v>199</v>
      </c>
      <c r="B200" t="s">
        <v>350</v>
      </c>
      <c r="C200" s="8" t="s">
        <v>351</v>
      </c>
      <c r="D200" t="s">
        <v>488</v>
      </c>
      <c r="E200" s="8" t="s">
        <v>489</v>
      </c>
      <c r="F200" t="s">
        <v>496</v>
      </c>
      <c r="G200" s="8" t="s">
        <v>497</v>
      </c>
      <c r="H200" s="9"/>
      <c r="I200" s="10">
        <f>IF(H200="","",H200/5)</f>
      </c>
      <c r="J200" s="11">
        <f>IF(H200="","",VLOOKUP(H200,Escala!$A$2:$C$7,3,FALSE))</f>
      </c>
    </row>
    <row r="201" spans="1:10" x14ac:dyDescent="0.25">
      <c r="A201" s="12">
        <v>200</v>
      </c>
      <c r="B201" s="12" t="s">
        <v>350</v>
      </c>
      <c r="C201" s="13" t="s">
        <v>351</v>
      </c>
      <c r="D201" s="12" t="s">
        <v>488</v>
      </c>
      <c r="E201" s="13" t="s">
        <v>489</v>
      </c>
      <c r="F201" s="12" t="s">
        <v>498</v>
      </c>
      <c r="G201" s="13" t="s">
        <v>499</v>
      </c>
      <c r="H201" s="9"/>
      <c r="I201" s="10">
        <f>IF(H201="","",H201/5)</f>
      </c>
      <c r="J201" s="11">
        <f>IF(H201="","",VLOOKUP(H201,Escala!$A$2:$C$7,3,FALSE))</f>
      </c>
    </row>
    <row r="202" spans="1:10" x14ac:dyDescent="0.25">
      <c r="A202">
        <v>201</v>
      </c>
      <c r="B202" t="s">
        <v>350</v>
      </c>
      <c r="C202" s="8" t="s">
        <v>351</v>
      </c>
      <c r="D202" t="s">
        <v>488</v>
      </c>
      <c r="E202" s="8" t="s">
        <v>489</v>
      </c>
      <c r="F202" t="s">
        <v>500</v>
      </c>
      <c r="G202" s="8" t="s">
        <v>501</v>
      </c>
      <c r="H202" s="9"/>
      <c r="I202" s="10">
        <f>IF(H202="","",H202/5)</f>
      </c>
      <c r="J202" s="11">
        <f>IF(H202="","",VLOOKUP(H202,Escala!$A$2:$C$7,3,FALSE))</f>
      </c>
    </row>
    <row r="203" spans="1:10" x14ac:dyDescent="0.25">
      <c r="A203" s="12">
        <v>202</v>
      </c>
      <c r="B203" s="12" t="s">
        <v>350</v>
      </c>
      <c r="C203" s="13" t="s">
        <v>351</v>
      </c>
      <c r="D203" s="12" t="s">
        <v>488</v>
      </c>
      <c r="E203" s="13" t="s">
        <v>489</v>
      </c>
      <c r="F203" s="12" t="s">
        <v>502</v>
      </c>
      <c r="G203" s="13" t="s">
        <v>503</v>
      </c>
      <c r="H203" s="9"/>
      <c r="I203" s="10">
        <f>IF(H203="","",H203/5)</f>
      </c>
      <c r="J203" s="11">
        <f>IF(H203="","",VLOOKUP(H203,Escala!$A$2:$C$7,3,FALSE))</f>
      </c>
    </row>
    <row r="204" spans="1:10" x14ac:dyDescent="0.25">
      <c r="A204">
        <v>203</v>
      </c>
      <c r="B204" t="s">
        <v>350</v>
      </c>
      <c r="C204" s="8" t="s">
        <v>351</v>
      </c>
      <c r="D204" t="s">
        <v>488</v>
      </c>
      <c r="E204" s="8" t="s">
        <v>489</v>
      </c>
      <c r="F204" t="s">
        <v>504</v>
      </c>
      <c r="G204" s="8" t="s">
        <v>505</v>
      </c>
      <c r="H204" s="9"/>
      <c r="I204" s="10">
        <f>IF(H204="","",H204/5)</f>
      </c>
      <c r="J204" s="11">
        <f>IF(H204="","",VLOOKUP(H204,Escala!$A$2:$C$7,3,FALSE))</f>
      </c>
    </row>
    <row r="205" spans="1:10" x14ac:dyDescent="0.25">
      <c r="A205" s="12">
        <v>204</v>
      </c>
      <c r="B205" s="12" t="s">
        <v>350</v>
      </c>
      <c r="C205" s="13" t="s">
        <v>351</v>
      </c>
      <c r="D205" s="12" t="s">
        <v>488</v>
      </c>
      <c r="E205" s="13" t="s">
        <v>489</v>
      </c>
      <c r="F205" s="12" t="s">
        <v>506</v>
      </c>
      <c r="G205" s="13" t="s">
        <v>507</v>
      </c>
      <c r="H205" s="9"/>
      <c r="I205" s="10">
        <f>IF(H205="","",H205/5)</f>
      </c>
      <c r="J205" s="11">
        <f>IF(H205="","",VLOOKUP(H205,Escala!$A$2:$C$7,3,FALSE))</f>
      </c>
    </row>
    <row r="206" spans="1:10" x14ac:dyDescent="0.25">
      <c r="A206">
        <v>205</v>
      </c>
      <c r="B206" t="s">
        <v>350</v>
      </c>
      <c r="C206" s="8" t="s">
        <v>351</v>
      </c>
      <c r="D206" t="s">
        <v>488</v>
      </c>
      <c r="E206" s="8" t="s">
        <v>489</v>
      </c>
      <c r="F206" t="s">
        <v>508</v>
      </c>
      <c r="G206" s="8" t="s">
        <v>509</v>
      </c>
      <c r="H206" s="9"/>
      <c r="I206" s="10">
        <f>IF(H206="","",H206/5)</f>
      </c>
      <c r="J206" s="11">
        <f>IF(H206="","",VLOOKUP(H206,Escala!$A$2:$C$7,3,FALSE))</f>
      </c>
    </row>
    <row r="207" spans="1:10" x14ac:dyDescent="0.25">
      <c r="A207" s="12">
        <v>206</v>
      </c>
      <c r="B207" s="12" t="s">
        <v>350</v>
      </c>
      <c r="C207" s="13" t="s">
        <v>351</v>
      </c>
      <c r="D207" s="12" t="s">
        <v>488</v>
      </c>
      <c r="E207" s="13" t="s">
        <v>489</v>
      </c>
      <c r="F207" s="12" t="s">
        <v>510</v>
      </c>
      <c r="G207" s="13" t="s">
        <v>511</v>
      </c>
      <c r="H207" s="9"/>
      <c r="I207" s="10">
        <f>IF(H207="","",H207/5)</f>
      </c>
      <c r="J207" s="11">
        <f>IF(H207="","",VLOOKUP(H207,Escala!$A$2:$C$7,3,FALSE))</f>
      </c>
    </row>
    <row r="208" spans="1:10" x14ac:dyDescent="0.25">
      <c r="A208">
        <v>207</v>
      </c>
      <c r="B208" t="s">
        <v>512</v>
      </c>
      <c r="C208" s="8" t="s">
        <v>513</v>
      </c>
      <c r="D208" t="s">
        <v>514</v>
      </c>
      <c r="E208" s="8" t="s">
        <v>515</v>
      </c>
      <c r="F208" t="s">
        <v>516</v>
      </c>
      <c r="G208" s="8" t="s">
        <v>517</v>
      </c>
      <c r="H208" s="9"/>
      <c r="I208" s="10">
        <f>IF(H208="","",H208/5)</f>
      </c>
      <c r="J208" s="11">
        <f>IF(H208="","",VLOOKUP(H208,Escala!$A$2:$C$7,3,FALSE))</f>
      </c>
    </row>
    <row r="209" spans="1:10" x14ac:dyDescent="0.25">
      <c r="A209" s="12">
        <v>208</v>
      </c>
      <c r="B209" s="12" t="s">
        <v>512</v>
      </c>
      <c r="C209" s="13" t="s">
        <v>513</v>
      </c>
      <c r="D209" s="12" t="s">
        <v>514</v>
      </c>
      <c r="E209" s="13" t="s">
        <v>515</v>
      </c>
      <c r="F209" s="12" t="s">
        <v>518</v>
      </c>
      <c r="G209" s="13" t="s">
        <v>519</v>
      </c>
      <c r="H209" s="9"/>
      <c r="I209" s="10">
        <f>IF(H209="","",H209/5)</f>
      </c>
      <c r="J209" s="11">
        <f>IF(H209="","",VLOOKUP(H209,Escala!$A$2:$C$7,3,FALSE))</f>
      </c>
    </row>
    <row r="210" spans="1:10" x14ac:dyDescent="0.25">
      <c r="A210">
        <v>209</v>
      </c>
      <c r="B210" t="s">
        <v>512</v>
      </c>
      <c r="C210" s="8" t="s">
        <v>513</v>
      </c>
      <c r="D210" t="s">
        <v>514</v>
      </c>
      <c r="E210" s="8" t="s">
        <v>515</v>
      </c>
      <c r="F210" t="s">
        <v>520</v>
      </c>
      <c r="G210" s="8" t="s">
        <v>521</v>
      </c>
      <c r="H210" s="9"/>
      <c r="I210" s="10">
        <f>IF(H210="","",H210/5)</f>
      </c>
      <c r="J210" s="11">
        <f>IF(H210="","",VLOOKUP(H210,Escala!$A$2:$C$7,3,FALSE))</f>
      </c>
    </row>
    <row r="211" spans="1:10" x14ac:dyDescent="0.25">
      <c r="A211" s="12">
        <v>210</v>
      </c>
      <c r="B211" s="12" t="s">
        <v>512</v>
      </c>
      <c r="C211" s="13" t="s">
        <v>513</v>
      </c>
      <c r="D211" s="12" t="s">
        <v>514</v>
      </c>
      <c r="E211" s="13" t="s">
        <v>515</v>
      </c>
      <c r="F211" s="12" t="s">
        <v>522</v>
      </c>
      <c r="G211" s="13" t="s">
        <v>523</v>
      </c>
      <c r="H211" s="9"/>
      <c r="I211" s="10">
        <f>IF(H211="","",H211/5)</f>
      </c>
      <c r="J211" s="11">
        <f>IF(H211="","",VLOOKUP(H211,Escala!$A$2:$C$7,3,FALSE))</f>
      </c>
    </row>
    <row r="212" spans="1:10" x14ac:dyDescent="0.25">
      <c r="A212">
        <v>211</v>
      </c>
      <c r="B212" t="s">
        <v>512</v>
      </c>
      <c r="C212" s="8" t="s">
        <v>513</v>
      </c>
      <c r="D212" t="s">
        <v>514</v>
      </c>
      <c r="E212" s="8" t="s">
        <v>515</v>
      </c>
      <c r="F212" t="s">
        <v>524</v>
      </c>
      <c r="G212" s="8" t="s">
        <v>525</v>
      </c>
      <c r="H212" s="9"/>
      <c r="I212" s="10">
        <f>IF(H212="","",H212/5)</f>
      </c>
      <c r="J212" s="11">
        <f>IF(H212="","",VLOOKUP(H212,Escala!$A$2:$C$7,3,FALSE))</f>
      </c>
    </row>
    <row r="213" spans="1:10" x14ac:dyDescent="0.25">
      <c r="A213" s="12">
        <v>212</v>
      </c>
      <c r="B213" s="12" t="s">
        <v>512</v>
      </c>
      <c r="C213" s="13" t="s">
        <v>513</v>
      </c>
      <c r="D213" s="12" t="s">
        <v>514</v>
      </c>
      <c r="E213" s="13" t="s">
        <v>515</v>
      </c>
      <c r="F213" s="12" t="s">
        <v>526</v>
      </c>
      <c r="G213" s="13" t="s">
        <v>527</v>
      </c>
      <c r="H213" s="9"/>
      <c r="I213" s="10">
        <f>IF(H213="","",H213/5)</f>
      </c>
      <c r="J213" s="11">
        <f>IF(H213="","",VLOOKUP(H213,Escala!$A$2:$C$7,3,FALSE))</f>
      </c>
    </row>
    <row r="214" spans="1:10" x14ac:dyDescent="0.25">
      <c r="A214">
        <v>213</v>
      </c>
      <c r="B214" t="s">
        <v>512</v>
      </c>
      <c r="C214" s="8" t="s">
        <v>513</v>
      </c>
      <c r="D214" t="s">
        <v>514</v>
      </c>
      <c r="E214" s="8" t="s">
        <v>515</v>
      </c>
      <c r="F214" t="s">
        <v>528</v>
      </c>
      <c r="G214" s="8" t="s">
        <v>529</v>
      </c>
      <c r="H214" s="9"/>
      <c r="I214" s="10">
        <f>IF(H214="","",H214/5)</f>
      </c>
      <c r="J214" s="11">
        <f>IF(H214="","",VLOOKUP(H214,Escala!$A$2:$C$7,3,FALSE))</f>
      </c>
    </row>
    <row r="215" spans="1:10" x14ac:dyDescent="0.25">
      <c r="A215" s="12">
        <v>214</v>
      </c>
      <c r="B215" s="12" t="s">
        <v>512</v>
      </c>
      <c r="C215" s="13" t="s">
        <v>513</v>
      </c>
      <c r="D215" s="12" t="s">
        <v>514</v>
      </c>
      <c r="E215" s="13" t="s">
        <v>515</v>
      </c>
      <c r="F215" s="12" t="s">
        <v>530</v>
      </c>
      <c r="G215" s="13" t="s">
        <v>531</v>
      </c>
      <c r="H215" s="9"/>
      <c r="I215" s="10">
        <f>IF(H215="","",H215/5)</f>
      </c>
      <c r="J215" s="11">
        <f>IF(H215="","",VLOOKUP(H215,Escala!$A$2:$C$7,3,FALSE))</f>
      </c>
    </row>
    <row r="216" spans="1:10" x14ac:dyDescent="0.25">
      <c r="A216">
        <v>215</v>
      </c>
      <c r="B216" t="s">
        <v>512</v>
      </c>
      <c r="C216" s="8" t="s">
        <v>513</v>
      </c>
      <c r="D216" t="s">
        <v>514</v>
      </c>
      <c r="E216" s="8" t="s">
        <v>515</v>
      </c>
      <c r="F216" t="s">
        <v>532</v>
      </c>
      <c r="G216" s="8" t="s">
        <v>533</v>
      </c>
      <c r="H216" s="9"/>
      <c r="I216" s="10">
        <f>IF(H216="","",H216/5)</f>
      </c>
      <c r="J216" s="11">
        <f>IF(H216="","",VLOOKUP(H216,Escala!$A$2:$C$7,3,FALSE))</f>
      </c>
    </row>
    <row r="217" spans="1:10" x14ac:dyDescent="0.25">
      <c r="A217" s="12">
        <v>216</v>
      </c>
      <c r="B217" s="12" t="s">
        <v>512</v>
      </c>
      <c r="C217" s="13" t="s">
        <v>513</v>
      </c>
      <c r="D217" s="12" t="s">
        <v>514</v>
      </c>
      <c r="E217" s="13" t="s">
        <v>515</v>
      </c>
      <c r="F217" s="12" t="s">
        <v>534</v>
      </c>
      <c r="G217" s="13" t="s">
        <v>535</v>
      </c>
      <c r="H217" s="9"/>
      <c r="I217" s="10">
        <f>IF(H217="","",H217/5)</f>
      </c>
      <c r="J217" s="11">
        <f>IF(H217="","",VLOOKUP(H217,Escala!$A$2:$C$7,3,FALSE))</f>
      </c>
    </row>
    <row r="218" spans="1:10" x14ac:dyDescent="0.25">
      <c r="A218">
        <v>217</v>
      </c>
      <c r="B218" t="s">
        <v>512</v>
      </c>
      <c r="C218" s="8" t="s">
        <v>513</v>
      </c>
      <c r="D218" t="s">
        <v>514</v>
      </c>
      <c r="E218" s="8" t="s">
        <v>515</v>
      </c>
      <c r="F218" t="s">
        <v>536</v>
      </c>
      <c r="G218" s="8" t="s">
        <v>537</v>
      </c>
      <c r="H218" s="9"/>
      <c r="I218" s="10">
        <f>IF(H218="","",H218/5)</f>
      </c>
      <c r="J218" s="11">
        <f>IF(H218="","",VLOOKUP(H218,Escala!$A$2:$C$7,3,FALSE))</f>
      </c>
    </row>
    <row r="219" spans="1:10" x14ac:dyDescent="0.25">
      <c r="A219" s="12">
        <v>218</v>
      </c>
      <c r="B219" s="12" t="s">
        <v>512</v>
      </c>
      <c r="C219" s="13" t="s">
        <v>513</v>
      </c>
      <c r="D219" s="12" t="s">
        <v>514</v>
      </c>
      <c r="E219" s="13" t="s">
        <v>515</v>
      </c>
      <c r="F219" s="12" t="s">
        <v>538</v>
      </c>
      <c r="G219" s="13" t="s">
        <v>539</v>
      </c>
      <c r="H219" s="9"/>
      <c r="I219" s="10">
        <f>IF(H219="","",H219/5)</f>
      </c>
      <c r="J219" s="11">
        <f>IF(H219="","",VLOOKUP(H219,Escala!$A$2:$C$7,3,FALSE))</f>
      </c>
    </row>
    <row r="220" spans="1:10" x14ac:dyDescent="0.25">
      <c r="A220">
        <v>219</v>
      </c>
      <c r="B220" t="s">
        <v>512</v>
      </c>
      <c r="C220" s="8" t="s">
        <v>513</v>
      </c>
      <c r="D220" t="s">
        <v>540</v>
      </c>
      <c r="E220" s="8" t="s">
        <v>541</v>
      </c>
      <c r="F220" t="s">
        <v>542</v>
      </c>
      <c r="G220" s="8" t="s">
        <v>543</v>
      </c>
      <c r="H220" s="9"/>
      <c r="I220" s="10">
        <f>IF(H220="","",H220/5)</f>
      </c>
      <c r="J220" s="11">
        <f>IF(H220="","",VLOOKUP(H220,Escala!$A$2:$C$7,3,FALSE))</f>
      </c>
    </row>
    <row r="221" spans="1:10" x14ac:dyDescent="0.25">
      <c r="A221" s="12">
        <v>220</v>
      </c>
      <c r="B221" s="12" t="s">
        <v>512</v>
      </c>
      <c r="C221" s="13" t="s">
        <v>513</v>
      </c>
      <c r="D221" s="12" t="s">
        <v>540</v>
      </c>
      <c r="E221" s="13" t="s">
        <v>541</v>
      </c>
      <c r="F221" s="12" t="s">
        <v>544</v>
      </c>
      <c r="G221" s="13" t="s">
        <v>545</v>
      </c>
      <c r="H221" s="9"/>
      <c r="I221" s="10">
        <f>IF(H221="","",H221/5)</f>
      </c>
      <c r="J221" s="11">
        <f>IF(H221="","",VLOOKUP(H221,Escala!$A$2:$C$7,3,FALSE))</f>
      </c>
    </row>
    <row r="222" spans="1:10" x14ac:dyDescent="0.25">
      <c r="A222">
        <v>221</v>
      </c>
      <c r="B222" t="s">
        <v>512</v>
      </c>
      <c r="C222" s="8" t="s">
        <v>513</v>
      </c>
      <c r="D222" t="s">
        <v>540</v>
      </c>
      <c r="E222" s="8" t="s">
        <v>541</v>
      </c>
      <c r="F222" t="s">
        <v>546</v>
      </c>
      <c r="G222" s="8" t="s">
        <v>547</v>
      </c>
      <c r="H222" s="9"/>
      <c r="I222" s="10">
        <f>IF(H222="","",H222/5)</f>
      </c>
      <c r="J222" s="11">
        <f>IF(H222="","",VLOOKUP(H222,Escala!$A$2:$C$7,3,FALSE))</f>
      </c>
    </row>
    <row r="223" spans="1:10" x14ac:dyDescent="0.25">
      <c r="A223" s="12">
        <v>222</v>
      </c>
      <c r="B223" s="12" t="s">
        <v>512</v>
      </c>
      <c r="C223" s="13" t="s">
        <v>513</v>
      </c>
      <c r="D223" s="12" t="s">
        <v>540</v>
      </c>
      <c r="E223" s="13" t="s">
        <v>541</v>
      </c>
      <c r="F223" s="12" t="s">
        <v>548</v>
      </c>
      <c r="G223" s="13" t="s">
        <v>549</v>
      </c>
      <c r="H223" s="9"/>
      <c r="I223" s="10">
        <f>IF(H223="","",H223/5)</f>
      </c>
      <c r="J223" s="11">
        <f>IF(H223="","",VLOOKUP(H223,Escala!$A$2:$C$7,3,FALSE))</f>
      </c>
    </row>
    <row r="224" spans="1:10" x14ac:dyDescent="0.25">
      <c r="A224">
        <v>223</v>
      </c>
      <c r="B224" t="s">
        <v>512</v>
      </c>
      <c r="C224" s="8" t="s">
        <v>513</v>
      </c>
      <c r="D224" t="s">
        <v>540</v>
      </c>
      <c r="E224" s="8" t="s">
        <v>541</v>
      </c>
      <c r="F224" t="s">
        <v>550</v>
      </c>
      <c r="G224" s="8" t="s">
        <v>551</v>
      </c>
      <c r="H224" s="9"/>
      <c r="I224" s="10">
        <f>IF(H224="","",H224/5)</f>
      </c>
      <c r="J224" s="11">
        <f>IF(H224="","",VLOOKUP(H224,Escala!$A$2:$C$7,3,FALSE))</f>
      </c>
    </row>
    <row r="225" spans="1:10" x14ac:dyDescent="0.25">
      <c r="A225" s="12">
        <v>224</v>
      </c>
      <c r="B225" s="12" t="s">
        <v>512</v>
      </c>
      <c r="C225" s="13" t="s">
        <v>513</v>
      </c>
      <c r="D225" s="12" t="s">
        <v>540</v>
      </c>
      <c r="E225" s="13" t="s">
        <v>541</v>
      </c>
      <c r="F225" s="12" t="s">
        <v>552</v>
      </c>
      <c r="G225" s="13" t="s">
        <v>553</v>
      </c>
      <c r="H225" s="9"/>
      <c r="I225" s="10">
        <f>IF(H225="","",H225/5)</f>
      </c>
      <c r="J225" s="11">
        <f>IF(H225="","",VLOOKUP(H225,Escala!$A$2:$C$7,3,FALSE))</f>
      </c>
    </row>
    <row r="226" spans="1:10" x14ac:dyDescent="0.25">
      <c r="A226">
        <v>225</v>
      </c>
      <c r="B226" t="s">
        <v>512</v>
      </c>
      <c r="C226" s="8" t="s">
        <v>513</v>
      </c>
      <c r="D226" t="s">
        <v>540</v>
      </c>
      <c r="E226" s="8" t="s">
        <v>541</v>
      </c>
      <c r="F226" t="s">
        <v>554</v>
      </c>
      <c r="G226" s="8" t="s">
        <v>555</v>
      </c>
      <c r="H226" s="9"/>
      <c r="I226" s="10">
        <f>IF(H226="","",H226/5)</f>
      </c>
      <c r="J226" s="11">
        <f>IF(H226="","",VLOOKUP(H226,Escala!$A$2:$C$7,3,FALSE))</f>
      </c>
    </row>
    <row r="227" spans="1:10" x14ac:dyDescent="0.25">
      <c r="A227" s="12">
        <v>226</v>
      </c>
      <c r="B227" s="12" t="s">
        <v>512</v>
      </c>
      <c r="C227" s="13" t="s">
        <v>513</v>
      </c>
      <c r="D227" s="12" t="s">
        <v>540</v>
      </c>
      <c r="E227" s="13" t="s">
        <v>541</v>
      </c>
      <c r="F227" s="12" t="s">
        <v>556</v>
      </c>
      <c r="G227" s="13" t="s">
        <v>557</v>
      </c>
      <c r="H227" s="9"/>
      <c r="I227" s="10">
        <f>IF(H227="","",H227/5)</f>
      </c>
      <c r="J227" s="11">
        <f>IF(H227="","",VLOOKUP(H227,Escala!$A$2:$C$7,3,FALSE))</f>
      </c>
    </row>
    <row r="228" spans="1:10" x14ac:dyDescent="0.25">
      <c r="A228">
        <v>227</v>
      </c>
      <c r="B228" t="s">
        <v>512</v>
      </c>
      <c r="C228" s="8" t="s">
        <v>513</v>
      </c>
      <c r="D228" t="s">
        <v>540</v>
      </c>
      <c r="E228" s="8" t="s">
        <v>541</v>
      </c>
      <c r="F228" t="s">
        <v>558</v>
      </c>
      <c r="G228" s="8" t="s">
        <v>559</v>
      </c>
      <c r="H228" s="9"/>
      <c r="I228" s="10">
        <f>IF(H228="","",H228/5)</f>
      </c>
      <c r="J228" s="11">
        <f>IF(H228="","",VLOOKUP(H228,Escala!$A$2:$C$7,3,FALSE))</f>
      </c>
    </row>
    <row r="229" spans="1:10" x14ac:dyDescent="0.25">
      <c r="A229" s="12">
        <v>228</v>
      </c>
      <c r="B229" s="12" t="s">
        <v>512</v>
      </c>
      <c r="C229" s="13" t="s">
        <v>513</v>
      </c>
      <c r="D229" s="12" t="s">
        <v>540</v>
      </c>
      <c r="E229" s="13" t="s">
        <v>541</v>
      </c>
      <c r="F229" s="12" t="s">
        <v>560</v>
      </c>
      <c r="G229" s="13" t="s">
        <v>561</v>
      </c>
      <c r="H229" s="9"/>
      <c r="I229" s="10">
        <f>IF(H229="","",H229/5)</f>
      </c>
      <c r="J229" s="11">
        <f>IF(H229="","",VLOOKUP(H229,Escala!$A$2:$C$7,3,FALSE))</f>
      </c>
    </row>
    <row r="230" spans="1:10" x14ac:dyDescent="0.25">
      <c r="A230">
        <v>229</v>
      </c>
      <c r="B230" t="s">
        <v>512</v>
      </c>
      <c r="C230" s="8" t="s">
        <v>513</v>
      </c>
      <c r="D230" t="s">
        <v>540</v>
      </c>
      <c r="E230" s="8" t="s">
        <v>541</v>
      </c>
      <c r="F230" t="s">
        <v>562</v>
      </c>
      <c r="G230" s="8" t="s">
        <v>563</v>
      </c>
      <c r="H230" s="9"/>
      <c r="I230" s="10">
        <f>IF(H230="","",H230/5)</f>
      </c>
      <c r="J230" s="11">
        <f>IF(H230="","",VLOOKUP(H230,Escala!$A$2:$C$7,3,FALSE))</f>
      </c>
    </row>
    <row r="231" spans="1:10" x14ac:dyDescent="0.25">
      <c r="A231" s="12">
        <v>230</v>
      </c>
      <c r="B231" s="12" t="s">
        <v>512</v>
      </c>
      <c r="C231" s="13" t="s">
        <v>513</v>
      </c>
      <c r="D231" s="12" t="s">
        <v>540</v>
      </c>
      <c r="E231" s="13" t="s">
        <v>541</v>
      </c>
      <c r="F231" s="12" t="s">
        <v>564</v>
      </c>
      <c r="G231" s="13" t="s">
        <v>565</v>
      </c>
      <c r="H231" s="9"/>
      <c r="I231" s="10">
        <f>IF(H231="","",H231/5)</f>
      </c>
      <c r="J231" s="11">
        <f>IF(H231="","",VLOOKUP(H231,Escala!$A$2:$C$7,3,FALSE))</f>
      </c>
    </row>
    <row r="232" spans="1:10" x14ac:dyDescent="0.25">
      <c r="A232">
        <v>231</v>
      </c>
      <c r="B232" t="s">
        <v>512</v>
      </c>
      <c r="C232" s="8" t="s">
        <v>513</v>
      </c>
      <c r="D232" t="s">
        <v>540</v>
      </c>
      <c r="E232" s="8" t="s">
        <v>541</v>
      </c>
      <c r="F232" t="s">
        <v>566</v>
      </c>
      <c r="G232" s="8" t="s">
        <v>567</v>
      </c>
      <c r="H232" s="9"/>
      <c r="I232" s="10">
        <f>IF(H232="","",H232/5)</f>
      </c>
      <c r="J232" s="11">
        <f>IF(H232="","",VLOOKUP(H232,Escala!$A$2:$C$7,3,FALSE))</f>
      </c>
    </row>
    <row r="233" spans="1:10" x14ac:dyDescent="0.25">
      <c r="A233" s="12">
        <v>232</v>
      </c>
      <c r="B233" s="12" t="s">
        <v>512</v>
      </c>
      <c r="C233" s="13" t="s">
        <v>513</v>
      </c>
      <c r="D233" s="12" t="s">
        <v>568</v>
      </c>
      <c r="E233" s="13" t="s">
        <v>569</v>
      </c>
      <c r="F233" s="12" t="s">
        <v>570</v>
      </c>
      <c r="G233" s="13" t="s">
        <v>571</v>
      </c>
      <c r="H233" s="9"/>
      <c r="I233" s="10">
        <f>IF(H233="","",H233/5)</f>
      </c>
      <c r="J233" s="11">
        <f>IF(H233="","",VLOOKUP(H233,Escala!$A$2:$C$7,3,FALSE))</f>
      </c>
    </row>
    <row r="234" spans="1:10" x14ac:dyDescent="0.25">
      <c r="A234">
        <v>233</v>
      </c>
      <c r="B234" t="s">
        <v>512</v>
      </c>
      <c r="C234" s="8" t="s">
        <v>513</v>
      </c>
      <c r="D234" t="s">
        <v>568</v>
      </c>
      <c r="E234" s="8" t="s">
        <v>569</v>
      </c>
      <c r="F234" t="s">
        <v>572</v>
      </c>
      <c r="G234" s="8" t="s">
        <v>573</v>
      </c>
      <c r="H234" s="9"/>
      <c r="I234" s="10">
        <f>IF(H234="","",H234/5)</f>
      </c>
      <c r="J234" s="11">
        <f>IF(H234="","",VLOOKUP(H234,Escala!$A$2:$C$7,3,FALSE))</f>
      </c>
    </row>
    <row r="235" spans="1:10" x14ac:dyDescent="0.25">
      <c r="A235" s="12">
        <v>234</v>
      </c>
      <c r="B235" s="12" t="s">
        <v>512</v>
      </c>
      <c r="C235" s="13" t="s">
        <v>513</v>
      </c>
      <c r="D235" s="12" t="s">
        <v>568</v>
      </c>
      <c r="E235" s="13" t="s">
        <v>569</v>
      </c>
      <c r="F235" s="12" t="s">
        <v>574</v>
      </c>
      <c r="G235" s="13" t="s">
        <v>575</v>
      </c>
      <c r="H235" s="9"/>
      <c r="I235" s="10">
        <f>IF(H235="","",H235/5)</f>
      </c>
      <c r="J235" s="11">
        <f>IF(H235="","",VLOOKUP(H235,Escala!$A$2:$C$7,3,FALSE))</f>
      </c>
    </row>
    <row r="236" spans="1:10" x14ac:dyDescent="0.25">
      <c r="A236">
        <v>235</v>
      </c>
      <c r="B236" t="s">
        <v>512</v>
      </c>
      <c r="C236" s="8" t="s">
        <v>513</v>
      </c>
      <c r="D236" t="s">
        <v>568</v>
      </c>
      <c r="E236" s="8" t="s">
        <v>569</v>
      </c>
      <c r="F236" t="s">
        <v>576</v>
      </c>
      <c r="G236" s="8" t="s">
        <v>577</v>
      </c>
      <c r="H236" s="9"/>
      <c r="I236" s="10">
        <f>IF(H236="","",H236/5)</f>
      </c>
      <c r="J236" s="11">
        <f>IF(H236="","",VLOOKUP(H236,Escala!$A$2:$C$7,3,FALSE))</f>
      </c>
    </row>
    <row r="237" spans="1:10" x14ac:dyDescent="0.25">
      <c r="A237" s="12">
        <v>236</v>
      </c>
      <c r="B237" s="12" t="s">
        <v>512</v>
      </c>
      <c r="C237" s="13" t="s">
        <v>513</v>
      </c>
      <c r="D237" s="12" t="s">
        <v>568</v>
      </c>
      <c r="E237" s="13" t="s">
        <v>569</v>
      </c>
      <c r="F237" s="12" t="s">
        <v>578</v>
      </c>
      <c r="G237" s="13" t="s">
        <v>579</v>
      </c>
      <c r="H237" s="9"/>
      <c r="I237" s="10">
        <f>IF(H237="","",H237/5)</f>
      </c>
      <c r="J237" s="11">
        <f>IF(H237="","",VLOOKUP(H237,Escala!$A$2:$C$7,3,FALSE))</f>
      </c>
    </row>
    <row r="238" spans="1:10" x14ac:dyDescent="0.25">
      <c r="A238">
        <v>237</v>
      </c>
      <c r="B238" t="s">
        <v>512</v>
      </c>
      <c r="C238" s="8" t="s">
        <v>513</v>
      </c>
      <c r="D238" t="s">
        <v>568</v>
      </c>
      <c r="E238" s="8" t="s">
        <v>569</v>
      </c>
      <c r="F238" t="s">
        <v>580</v>
      </c>
      <c r="G238" s="8" t="s">
        <v>581</v>
      </c>
      <c r="H238" s="9"/>
      <c r="I238" s="10">
        <f>IF(H238="","",H238/5)</f>
      </c>
      <c r="J238" s="11">
        <f>IF(H238="","",VLOOKUP(H238,Escala!$A$2:$C$7,3,FALSE))</f>
      </c>
    </row>
    <row r="239" spans="1:10" x14ac:dyDescent="0.25">
      <c r="A239" s="12">
        <v>238</v>
      </c>
      <c r="B239" s="12" t="s">
        <v>512</v>
      </c>
      <c r="C239" s="13" t="s">
        <v>513</v>
      </c>
      <c r="D239" s="12" t="s">
        <v>568</v>
      </c>
      <c r="E239" s="13" t="s">
        <v>569</v>
      </c>
      <c r="F239" s="12" t="s">
        <v>582</v>
      </c>
      <c r="G239" s="13" t="s">
        <v>583</v>
      </c>
      <c r="H239" s="9"/>
      <c r="I239" s="10">
        <f>IF(H239="","",H239/5)</f>
      </c>
      <c r="J239" s="11">
        <f>IF(H239="","",VLOOKUP(H239,Escala!$A$2:$C$7,3,FALSE))</f>
      </c>
    </row>
    <row r="240" spans="1:10" x14ac:dyDescent="0.25">
      <c r="A240">
        <v>239</v>
      </c>
      <c r="B240" t="s">
        <v>512</v>
      </c>
      <c r="C240" s="8" t="s">
        <v>513</v>
      </c>
      <c r="D240" t="s">
        <v>568</v>
      </c>
      <c r="E240" s="8" t="s">
        <v>569</v>
      </c>
      <c r="F240" t="s">
        <v>584</v>
      </c>
      <c r="G240" s="8" t="s">
        <v>585</v>
      </c>
      <c r="H240" s="9"/>
      <c r="I240" s="10">
        <f>IF(H240="","",H240/5)</f>
      </c>
      <c r="J240" s="11">
        <f>IF(H240="","",VLOOKUP(H240,Escala!$A$2:$C$7,3,FALSE))</f>
      </c>
    </row>
    <row r="241" spans="1:10" x14ac:dyDescent="0.25">
      <c r="A241" s="12">
        <v>240</v>
      </c>
      <c r="B241" s="12" t="s">
        <v>512</v>
      </c>
      <c r="C241" s="13" t="s">
        <v>513</v>
      </c>
      <c r="D241" s="12" t="s">
        <v>568</v>
      </c>
      <c r="E241" s="13" t="s">
        <v>569</v>
      </c>
      <c r="F241" s="12" t="s">
        <v>586</v>
      </c>
      <c r="G241" s="13" t="s">
        <v>587</v>
      </c>
      <c r="H241" s="9"/>
      <c r="I241" s="10">
        <f>IF(H241="","",H241/5)</f>
      </c>
      <c r="J241" s="11">
        <f>IF(H241="","",VLOOKUP(H241,Escala!$A$2:$C$7,3,FALSE))</f>
      </c>
    </row>
    <row r="242" spans="1:10" x14ac:dyDescent="0.25">
      <c r="A242">
        <v>241</v>
      </c>
      <c r="B242" t="s">
        <v>512</v>
      </c>
      <c r="C242" s="8" t="s">
        <v>513</v>
      </c>
      <c r="D242" t="s">
        <v>568</v>
      </c>
      <c r="E242" s="8" t="s">
        <v>569</v>
      </c>
      <c r="F242" t="s">
        <v>588</v>
      </c>
      <c r="G242" s="8" t="s">
        <v>589</v>
      </c>
      <c r="H242" s="9"/>
      <c r="I242" s="10">
        <f>IF(H242="","",H242/5)</f>
      </c>
      <c r="J242" s="11">
        <f>IF(H242="","",VLOOKUP(H242,Escala!$A$2:$C$7,3,FALSE))</f>
      </c>
    </row>
    <row r="243" spans="1:10" x14ac:dyDescent="0.25">
      <c r="A243" s="12">
        <v>242</v>
      </c>
      <c r="B243" s="12" t="s">
        <v>512</v>
      </c>
      <c r="C243" s="13" t="s">
        <v>513</v>
      </c>
      <c r="D243" s="12" t="s">
        <v>568</v>
      </c>
      <c r="E243" s="13" t="s">
        <v>569</v>
      </c>
      <c r="F243" s="12" t="s">
        <v>590</v>
      </c>
      <c r="G243" s="13" t="s">
        <v>591</v>
      </c>
      <c r="H243" s="9"/>
      <c r="I243" s="10">
        <f>IF(H243="","",H243/5)</f>
      </c>
      <c r="J243" s="11">
        <f>IF(H243="","",VLOOKUP(H243,Escala!$A$2:$C$7,3,FALSE))</f>
      </c>
    </row>
    <row r="244" spans="1:10" x14ac:dyDescent="0.25">
      <c r="A244">
        <v>243</v>
      </c>
      <c r="B244" t="s">
        <v>512</v>
      </c>
      <c r="C244" s="8" t="s">
        <v>513</v>
      </c>
      <c r="D244" t="s">
        <v>592</v>
      </c>
      <c r="E244" s="8" t="s">
        <v>593</v>
      </c>
      <c r="F244" t="s">
        <v>594</v>
      </c>
      <c r="G244" s="8" t="s">
        <v>595</v>
      </c>
      <c r="H244" s="9"/>
      <c r="I244" s="10">
        <f>IF(H244="","",H244/5)</f>
      </c>
      <c r="J244" s="11">
        <f>IF(H244="","",VLOOKUP(H244,Escala!$A$2:$C$7,3,FALSE))</f>
      </c>
    </row>
    <row r="245" spans="1:10" x14ac:dyDescent="0.25">
      <c r="A245" s="12">
        <v>244</v>
      </c>
      <c r="B245" s="12" t="s">
        <v>512</v>
      </c>
      <c r="C245" s="13" t="s">
        <v>513</v>
      </c>
      <c r="D245" s="12" t="s">
        <v>592</v>
      </c>
      <c r="E245" s="13" t="s">
        <v>593</v>
      </c>
      <c r="F245" s="12" t="s">
        <v>596</v>
      </c>
      <c r="G245" s="13" t="s">
        <v>597</v>
      </c>
      <c r="H245" s="9"/>
      <c r="I245" s="10">
        <f>IF(H245="","",H245/5)</f>
      </c>
      <c r="J245" s="11">
        <f>IF(H245="","",VLOOKUP(H245,Escala!$A$2:$C$7,3,FALSE))</f>
      </c>
    </row>
    <row r="246" spans="1:10" x14ac:dyDescent="0.25">
      <c r="A246">
        <v>245</v>
      </c>
      <c r="B246" t="s">
        <v>512</v>
      </c>
      <c r="C246" s="8" t="s">
        <v>513</v>
      </c>
      <c r="D246" t="s">
        <v>592</v>
      </c>
      <c r="E246" s="8" t="s">
        <v>593</v>
      </c>
      <c r="F246" t="s">
        <v>598</v>
      </c>
      <c r="G246" s="8" t="s">
        <v>599</v>
      </c>
      <c r="H246" s="9"/>
      <c r="I246" s="10">
        <f>IF(H246="","",H246/5)</f>
      </c>
      <c r="J246" s="11">
        <f>IF(H246="","",VLOOKUP(H246,Escala!$A$2:$C$7,3,FALSE))</f>
      </c>
    </row>
    <row r="247" spans="1:10" x14ac:dyDescent="0.25">
      <c r="A247" s="12">
        <v>246</v>
      </c>
      <c r="B247" s="12" t="s">
        <v>512</v>
      </c>
      <c r="C247" s="13" t="s">
        <v>513</v>
      </c>
      <c r="D247" s="12" t="s">
        <v>592</v>
      </c>
      <c r="E247" s="13" t="s">
        <v>593</v>
      </c>
      <c r="F247" s="12" t="s">
        <v>600</v>
      </c>
      <c r="G247" s="13" t="s">
        <v>601</v>
      </c>
      <c r="H247" s="9"/>
      <c r="I247" s="10">
        <f>IF(H247="","",H247/5)</f>
      </c>
      <c r="J247" s="11">
        <f>IF(H247="","",VLOOKUP(H247,Escala!$A$2:$C$7,3,FALSE))</f>
      </c>
    </row>
    <row r="248" spans="1:10" x14ac:dyDescent="0.25">
      <c r="A248">
        <v>247</v>
      </c>
      <c r="B248" t="s">
        <v>512</v>
      </c>
      <c r="C248" s="8" t="s">
        <v>513</v>
      </c>
      <c r="D248" t="s">
        <v>592</v>
      </c>
      <c r="E248" s="8" t="s">
        <v>593</v>
      </c>
      <c r="F248" t="s">
        <v>602</v>
      </c>
      <c r="G248" s="8" t="s">
        <v>603</v>
      </c>
      <c r="H248" s="9"/>
      <c r="I248" s="10">
        <f>IF(H248="","",H248/5)</f>
      </c>
      <c r="J248" s="11">
        <f>IF(H248="","",VLOOKUP(H248,Escala!$A$2:$C$7,3,FALSE))</f>
      </c>
    </row>
    <row r="249" spans="1:10" x14ac:dyDescent="0.25">
      <c r="A249" s="12">
        <v>248</v>
      </c>
      <c r="B249" s="12" t="s">
        <v>512</v>
      </c>
      <c r="C249" s="13" t="s">
        <v>513</v>
      </c>
      <c r="D249" s="12" t="s">
        <v>592</v>
      </c>
      <c r="E249" s="13" t="s">
        <v>593</v>
      </c>
      <c r="F249" s="12" t="s">
        <v>604</v>
      </c>
      <c r="G249" s="13" t="s">
        <v>605</v>
      </c>
      <c r="H249" s="9"/>
      <c r="I249" s="10">
        <f>IF(H249="","",H249/5)</f>
      </c>
      <c r="J249" s="11">
        <f>IF(H249="","",VLOOKUP(H249,Escala!$A$2:$C$7,3,FALSE))</f>
      </c>
    </row>
    <row r="250" spans="1:10" x14ac:dyDescent="0.25">
      <c r="A250">
        <v>249</v>
      </c>
      <c r="B250" t="s">
        <v>512</v>
      </c>
      <c r="C250" s="8" t="s">
        <v>513</v>
      </c>
      <c r="D250" t="s">
        <v>592</v>
      </c>
      <c r="E250" s="8" t="s">
        <v>593</v>
      </c>
      <c r="F250" t="s">
        <v>606</v>
      </c>
      <c r="G250" s="8" t="s">
        <v>607</v>
      </c>
      <c r="H250" s="9"/>
      <c r="I250" s="10">
        <f>IF(H250="","",H250/5)</f>
      </c>
      <c r="J250" s="11">
        <f>IF(H250="","",VLOOKUP(H250,Escala!$A$2:$C$7,3,FALSE))</f>
      </c>
    </row>
    <row r="251" spans="1:10" x14ac:dyDescent="0.25">
      <c r="A251" s="12">
        <v>250</v>
      </c>
      <c r="B251" s="12" t="s">
        <v>512</v>
      </c>
      <c r="C251" s="13" t="s">
        <v>513</v>
      </c>
      <c r="D251" s="12" t="s">
        <v>592</v>
      </c>
      <c r="E251" s="13" t="s">
        <v>593</v>
      </c>
      <c r="F251" s="12" t="s">
        <v>608</v>
      </c>
      <c r="G251" s="13" t="s">
        <v>609</v>
      </c>
      <c r="H251" s="9"/>
      <c r="I251" s="10">
        <f>IF(H251="","",H251/5)</f>
      </c>
      <c r="J251" s="11">
        <f>IF(H251="","",VLOOKUP(H251,Escala!$A$2:$C$7,3,FALSE))</f>
      </c>
    </row>
    <row r="252" spans="1:10" x14ac:dyDescent="0.25">
      <c r="A252">
        <v>251</v>
      </c>
      <c r="B252" t="s">
        <v>512</v>
      </c>
      <c r="C252" s="8" t="s">
        <v>513</v>
      </c>
      <c r="D252" t="s">
        <v>592</v>
      </c>
      <c r="E252" s="8" t="s">
        <v>593</v>
      </c>
      <c r="F252" t="s">
        <v>610</v>
      </c>
      <c r="G252" s="8" t="s">
        <v>611</v>
      </c>
      <c r="H252" s="9"/>
      <c r="I252" s="10">
        <f>IF(H252="","",H252/5)</f>
      </c>
      <c r="J252" s="11">
        <f>IF(H252="","",VLOOKUP(H252,Escala!$A$2:$C$7,3,FALSE))</f>
      </c>
    </row>
    <row r="253" spans="1:10" x14ac:dyDescent="0.25">
      <c r="A253" s="12">
        <v>252</v>
      </c>
      <c r="B253" s="12" t="s">
        <v>512</v>
      </c>
      <c r="C253" s="13" t="s">
        <v>513</v>
      </c>
      <c r="D253" s="12" t="s">
        <v>592</v>
      </c>
      <c r="E253" s="13" t="s">
        <v>593</v>
      </c>
      <c r="F253" s="12" t="s">
        <v>612</v>
      </c>
      <c r="G253" s="13" t="s">
        <v>613</v>
      </c>
      <c r="H253" s="9"/>
      <c r="I253" s="10">
        <f>IF(H253="","",H253/5)</f>
      </c>
      <c r="J253" s="11">
        <f>IF(H253="","",VLOOKUP(H253,Escala!$A$2:$C$7,3,FALSE))</f>
      </c>
    </row>
    <row r="254" spans="1:10" x14ac:dyDescent="0.25">
      <c r="A254">
        <v>253</v>
      </c>
      <c r="B254" t="s">
        <v>512</v>
      </c>
      <c r="C254" s="8" t="s">
        <v>513</v>
      </c>
      <c r="D254" t="s">
        <v>592</v>
      </c>
      <c r="E254" s="8" t="s">
        <v>593</v>
      </c>
      <c r="F254" t="s">
        <v>614</v>
      </c>
      <c r="G254" s="8" t="s">
        <v>615</v>
      </c>
      <c r="H254" s="9"/>
      <c r="I254" s="10">
        <f>IF(H254="","",H254/5)</f>
      </c>
      <c r="J254" s="11">
        <f>IF(H254="","",VLOOKUP(H254,Escala!$A$2:$C$7,3,FALSE))</f>
      </c>
    </row>
    <row r="255" spans="1:10" x14ac:dyDescent="0.25">
      <c r="A255" s="12">
        <v>254</v>
      </c>
      <c r="B255" s="12" t="s">
        <v>512</v>
      </c>
      <c r="C255" s="13" t="s">
        <v>513</v>
      </c>
      <c r="D255" s="12" t="s">
        <v>616</v>
      </c>
      <c r="E255" s="13" t="s">
        <v>617</v>
      </c>
      <c r="F255" s="12" t="s">
        <v>618</v>
      </c>
      <c r="G255" s="13" t="s">
        <v>619</v>
      </c>
      <c r="H255" s="9"/>
      <c r="I255" s="10">
        <f>IF(H255="","",H255/5)</f>
      </c>
      <c r="J255" s="11">
        <f>IF(H255="","",VLOOKUP(H255,Escala!$A$2:$C$7,3,FALSE))</f>
      </c>
    </row>
    <row r="256" spans="1:10" x14ac:dyDescent="0.25">
      <c r="A256">
        <v>255</v>
      </c>
      <c r="B256" t="s">
        <v>512</v>
      </c>
      <c r="C256" s="8" t="s">
        <v>513</v>
      </c>
      <c r="D256" t="s">
        <v>616</v>
      </c>
      <c r="E256" s="8" t="s">
        <v>617</v>
      </c>
      <c r="F256" t="s">
        <v>620</v>
      </c>
      <c r="G256" s="8" t="s">
        <v>621</v>
      </c>
      <c r="H256" s="9"/>
      <c r="I256" s="10">
        <f>IF(H256="","",H256/5)</f>
      </c>
      <c r="J256" s="11">
        <f>IF(H256="","",VLOOKUP(H256,Escala!$A$2:$C$7,3,FALSE))</f>
      </c>
    </row>
    <row r="257" spans="1:10" x14ac:dyDescent="0.25">
      <c r="A257" s="12">
        <v>256</v>
      </c>
      <c r="B257" s="12" t="s">
        <v>512</v>
      </c>
      <c r="C257" s="13" t="s">
        <v>513</v>
      </c>
      <c r="D257" s="12" t="s">
        <v>616</v>
      </c>
      <c r="E257" s="13" t="s">
        <v>617</v>
      </c>
      <c r="F257" s="12" t="s">
        <v>622</v>
      </c>
      <c r="G257" s="13" t="s">
        <v>623</v>
      </c>
      <c r="H257" s="9"/>
      <c r="I257" s="10">
        <f>IF(H257="","",H257/5)</f>
      </c>
      <c r="J257" s="11">
        <f>IF(H257="","",VLOOKUP(H257,Escala!$A$2:$C$7,3,FALSE))</f>
      </c>
    </row>
    <row r="258" spans="1:10" x14ac:dyDescent="0.25">
      <c r="A258">
        <v>257</v>
      </c>
      <c r="B258" t="s">
        <v>512</v>
      </c>
      <c r="C258" s="8" t="s">
        <v>513</v>
      </c>
      <c r="D258" t="s">
        <v>616</v>
      </c>
      <c r="E258" s="8" t="s">
        <v>617</v>
      </c>
      <c r="F258" t="s">
        <v>624</v>
      </c>
      <c r="G258" s="8" t="s">
        <v>625</v>
      </c>
      <c r="H258" s="9"/>
      <c r="I258" s="10">
        <f>IF(H258="","",H258/5)</f>
      </c>
      <c r="J258" s="11">
        <f>IF(H258="","",VLOOKUP(H258,Escala!$A$2:$C$7,3,FALSE))</f>
      </c>
    </row>
    <row r="259" spans="1:10" x14ac:dyDescent="0.25">
      <c r="A259" s="12">
        <v>258</v>
      </c>
      <c r="B259" s="12" t="s">
        <v>512</v>
      </c>
      <c r="C259" s="13" t="s">
        <v>513</v>
      </c>
      <c r="D259" s="12" t="s">
        <v>616</v>
      </c>
      <c r="E259" s="13" t="s">
        <v>617</v>
      </c>
      <c r="F259" s="12" t="s">
        <v>626</v>
      </c>
      <c r="G259" s="13" t="s">
        <v>627</v>
      </c>
      <c r="H259" s="9"/>
      <c r="I259" s="10">
        <f>IF(H259="","",H259/5)</f>
      </c>
      <c r="J259" s="11">
        <f>IF(H259="","",VLOOKUP(H259,Escala!$A$2:$C$7,3,FALSE))</f>
      </c>
    </row>
    <row r="260" spans="1:10" x14ac:dyDescent="0.25">
      <c r="A260">
        <v>259</v>
      </c>
      <c r="B260" t="s">
        <v>512</v>
      </c>
      <c r="C260" s="8" t="s">
        <v>513</v>
      </c>
      <c r="D260" t="s">
        <v>616</v>
      </c>
      <c r="E260" s="8" t="s">
        <v>617</v>
      </c>
      <c r="F260" t="s">
        <v>628</v>
      </c>
      <c r="G260" s="8" t="s">
        <v>629</v>
      </c>
      <c r="H260" s="9"/>
      <c r="I260" s="10">
        <f>IF(H260="","",H260/5)</f>
      </c>
      <c r="J260" s="11">
        <f>IF(H260="","",VLOOKUP(H260,Escala!$A$2:$C$7,3,FALSE))</f>
      </c>
    </row>
    <row r="261" spans="1:10" x14ac:dyDescent="0.25">
      <c r="A261" s="12">
        <v>260</v>
      </c>
      <c r="B261" s="12" t="s">
        <v>512</v>
      </c>
      <c r="C261" s="13" t="s">
        <v>513</v>
      </c>
      <c r="D261" s="12" t="s">
        <v>616</v>
      </c>
      <c r="E261" s="13" t="s">
        <v>617</v>
      </c>
      <c r="F261" s="12" t="s">
        <v>630</v>
      </c>
      <c r="G261" s="13" t="s">
        <v>631</v>
      </c>
      <c r="H261" s="9"/>
      <c r="I261" s="10">
        <f>IF(H261="","",H261/5)</f>
      </c>
      <c r="J261" s="11">
        <f>IF(H261="","",VLOOKUP(H261,Escala!$A$2:$C$7,3,FALSE))</f>
      </c>
    </row>
    <row r="262" spans="1:10" x14ac:dyDescent="0.25">
      <c r="A262">
        <v>261</v>
      </c>
      <c r="B262" t="s">
        <v>512</v>
      </c>
      <c r="C262" s="8" t="s">
        <v>513</v>
      </c>
      <c r="D262" t="s">
        <v>632</v>
      </c>
      <c r="E262" s="8" t="s">
        <v>633</v>
      </c>
      <c r="F262" t="s">
        <v>634</v>
      </c>
      <c r="G262" s="8" t="s">
        <v>635</v>
      </c>
      <c r="H262" s="9"/>
      <c r="I262" s="10">
        <f>IF(H262="","",H262/5)</f>
      </c>
      <c r="J262" s="11">
        <f>IF(H262="","",VLOOKUP(H262,Escala!$A$2:$C$7,3,FALSE))</f>
      </c>
    </row>
    <row r="263" spans="1:10" x14ac:dyDescent="0.25">
      <c r="A263" s="12">
        <v>262</v>
      </c>
      <c r="B263" s="12" t="s">
        <v>512</v>
      </c>
      <c r="C263" s="13" t="s">
        <v>513</v>
      </c>
      <c r="D263" s="12" t="s">
        <v>632</v>
      </c>
      <c r="E263" s="13" t="s">
        <v>633</v>
      </c>
      <c r="F263" s="12" t="s">
        <v>636</v>
      </c>
      <c r="G263" s="13" t="s">
        <v>637</v>
      </c>
      <c r="H263" s="9"/>
      <c r="I263" s="10">
        <f>IF(H263="","",H263/5)</f>
      </c>
      <c r="J263" s="11">
        <f>IF(H263="","",VLOOKUP(H263,Escala!$A$2:$C$7,3,FALSE))</f>
      </c>
    </row>
    <row r="264" spans="1:10" x14ac:dyDescent="0.25">
      <c r="A264">
        <v>263</v>
      </c>
      <c r="B264" t="s">
        <v>512</v>
      </c>
      <c r="C264" s="8" t="s">
        <v>513</v>
      </c>
      <c r="D264" t="s">
        <v>632</v>
      </c>
      <c r="E264" s="8" t="s">
        <v>633</v>
      </c>
      <c r="F264" t="s">
        <v>638</v>
      </c>
      <c r="G264" s="8" t="s">
        <v>639</v>
      </c>
      <c r="H264" s="9"/>
      <c r="I264" s="10">
        <f>IF(H264="","",H264/5)</f>
      </c>
      <c r="J264" s="11">
        <f>IF(H264="","",VLOOKUP(H264,Escala!$A$2:$C$7,3,FALSE))</f>
      </c>
    </row>
    <row r="265" spans="1:10" x14ac:dyDescent="0.25">
      <c r="A265" s="12">
        <v>264</v>
      </c>
      <c r="B265" s="12" t="s">
        <v>512</v>
      </c>
      <c r="C265" s="13" t="s">
        <v>513</v>
      </c>
      <c r="D265" s="12" t="s">
        <v>632</v>
      </c>
      <c r="E265" s="13" t="s">
        <v>633</v>
      </c>
      <c r="F265" s="12" t="s">
        <v>640</v>
      </c>
      <c r="G265" s="13" t="s">
        <v>641</v>
      </c>
      <c r="H265" s="9"/>
      <c r="I265" s="10">
        <f>IF(H265="","",H265/5)</f>
      </c>
      <c r="J265" s="11">
        <f>IF(H265="","",VLOOKUP(H265,Escala!$A$2:$C$7,3,FALSE))</f>
      </c>
    </row>
    <row r="266" spans="1:10" x14ac:dyDescent="0.25">
      <c r="A266">
        <v>265</v>
      </c>
      <c r="B266" t="s">
        <v>512</v>
      </c>
      <c r="C266" s="8" t="s">
        <v>513</v>
      </c>
      <c r="D266" t="s">
        <v>632</v>
      </c>
      <c r="E266" s="8" t="s">
        <v>633</v>
      </c>
      <c r="F266" t="s">
        <v>642</v>
      </c>
      <c r="G266" s="8" t="s">
        <v>643</v>
      </c>
      <c r="H266" s="9"/>
      <c r="I266" s="10">
        <f>IF(H266="","",H266/5)</f>
      </c>
      <c r="J266" s="11">
        <f>IF(H266="","",VLOOKUP(H266,Escala!$A$2:$C$7,3,FALSE))</f>
      </c>
    </row>
    <row r="267" spans="1:10" x14ac:dyDescent="0.25">
      <c r="A267" s="12">
        <v>266</v>
      </c>
      <c r="B267" s="12" t="s">
        <v>512</v>
      </c>
      <c r="C267" s="13" t="s">
        <v>513</v>
      </c>
      <c r="D267" s="12" t="s">
        <v>632</v>
      </c>
      <c r="E267" s="13" t="s">
        <v>633</v>
      </c>
      <c r="F267" s="12" t="s">
        <v>644</v>
      </c>
      <c r="G267" s="13" t="s">
        <v>645</v>
      </c>
      <c r="H267" s="9"/>
      <c r="I267" s="10">
        <f>IF(H267="","",H267/5)</f>
      </c>
      <c r="J267" s="11">
        <f>IF(H267="","",VLOOKUP(H267,Escala!$A$2:$C$7,3,FALSE))</f>
      </c>
    </row>
    <row r="268" spans="1:10" x14ac:dyDescent="0.25">
      <c r="A268">
        <v>267</v>
      </c>
      <c r="B268" t="s">
        <v>512</v>
      </c>
      <c r="C268" s="8" t="s">
        <v>513</v>
      </c>
      <c r="D268" t="s">
        <v>632</v>
      </c>
      <c r="E268" s="8" t="s">
        <v>633</v>
      </c>
      <c r="F268" t="s">
        <v>646</v>
      </c>
      <c r="G268" s="8" t="s">
        <v>647</v>
      </c>
      <c r="H268" s="9"/>
      <c r="I268" s="10">
        <f>IF(H268="","",H268/5)</f>
      </c>
      <c r="J268" s="11">
        <f>IF(H268="","",VLOOKUP(H268,Escala!$A$2:$C$7,3,FALSE))</f>
      </c>
    </row>
    <row r="269" spans="1:10" x14ac:dyDescent="0.25">
      <c r="A269" s="12">
        <v>268</v>
      </c>
      <c r="B269" s="12" t="s">
        <v>512</v>
      </c>
      <c r="C269" s="13" t="s">
        <v>513</v>
      </c>
      <c r="D269" s="12" t="s">
        <v>632</v>
      </c>
      <c r="E269" s="13" t="s">
        <v>633</v>
      </c>
      <c r="F269" s="12" t="s">
        <v>648</v>
      </c>
      <c r="G269" s="13" t="s">
        <v>649</v>
      </c>
      <c r="H269" s="9"/>
      <c r="I269" s="10">
        <f>IF(H269="","",H269/5)</f>
      </c>
      <c r="J269" s="11">
        <f>IF(H269="","",VLOOKUP(H269,Escala!$A$2:$C$7,3,FALSE))</f>
      </c>
    </row>
    <row r="270" spans="1:10" x14ac:dyDescent="0.25">
      <c r="A270">
        <v>269</v>
      </c>
      <c r="B270" t="s">
        <v>512</v>
      </c>
      <c r="C270" s="8" t="s">
        <v>513</v>
      </c>
      <c r="D270" t="s">
        <v>632</v>
      </c>
      <c r="E270" s="8" t="s">
        <v>633</v>
      </c>
      <c r="F270" t="s">
        <v>650</v>
      </c>
      <c r="G270" s="8" t="s">
        <v>651</v>
      </c>
      <c r="H270" s="9"/>
      <c r="I270" s="10">
        <f>IF(H270="","",H270/5)</f>
      </c>
      <c r="J270" s="11">
        <f>IF(H270="","",VLOOKUP(H270,Escala!$A$2:$C$7,3,FALSE))</f>
      </c>
    </row>
    <row r="271" spans="1:10" x14ac:dyDescent="0.25">
      <c r="A271" s="12">
        <v>270</v>
      </c>
      <c r="B271" s="12" t="s">
        <v>512</v>
      </c>
      <c r="C271" s="13" t="s">
        <v>513</v>
      </c>
      <c r="D271" s="12" t="s">
        <v>632</v>
      </c>
      <c r="E271" s="13" t="s">
        <v>633</v>
      </c>
      <c r="F271" s="12" t="s">
        <v>652</v>
      </c>
      <c r="G271" s="13" t="s">
        <v>653</v>
      </c>
      <c r="H271" s="9"/>
      <c r="I271" s="10">
        <f>IF(H271="","",H271/5)</f>
      </c>
      <c r="J271" s="11">
        <f>IF(H271="","",VLOOKUP(H271,Escala!$A$2:$C$7,3,FALSE))</f>
      </c>
    </row>
    <row r="272" spans="1:10" x14ac:dyDescent="0.25">
      <c r="A272">
        <v>271</v>
      </c>
      <c r="B272" t="s">
        <v>512</v>
      </c>
      <c r="C272" s="8" t="s">
        <v>513</v>
      </c>
      <c r="D272" t="s">
        <v>632</v>
      </c>
      <c r="E272" s="8" t="s">
        <v>633</v>
      </c>
      <c r="F272" t="s">
        <v>654</v>
      </c>
      <c r="G272" s="8" t="s">
        <v>655</v>
      </c>
      <c r="H272" s="9"/>
      <c r="I272" s="10">
        <f>IF(H272="","",H272/5)</f>
      </c>
      <c r="J272" s="11">
        <f>IF(H272="","",VLOOKUP(H272,Escala!$A$2:$C$7,3,FALSE))</f>
      </c>
    </row>
    <row r="273" spans="1:10" x14ac:dyDescent="0.25">
      <c r="A273" s="12">
        <v>272</v>
      </c>
      <c r="B273" s="12" t="s">
        <v>512</v>
      </c>
      <c r="C273" s="13" t="s">
        <v>513</v>
      </c>
      <c r="D273" s="12" t="s">
        <v>632</v>
      </c>
      <c r="E273" s="13" t="s">
        <v>633</v>
      </c>
      <c r="F273" s="12" t="s">
        <v>656</v>
      </c>
      <c r="G273" s="13" t="s">
        <v>657</v>
      </c>
      <c r="H273" s="9"/>
      <c r="I273" s="10">
        <f>IF(H273="","",H273/5)</f>
      </c>
      <c r="J273" s="11">
        <f>IF(H273="","",VLOOKUP(H273,Escala!$A$2:$C$7,3,FALSE))</f>
      </c>
    </row>
    <row r="274" spans="1:10" x14ac:dyDescent="0.25">
      <c r="A274">
        <v>273</v>
      </c>
      <c r="B274" t="s">
        <v>512</v>
      </c>
      <c r="C274" s="8" t="s">
        <v>513</v>
      </c>
      <c r="D274" t="s">
        <v>632</v>
      </c>
      <c r="E274" s="8" t="s">
        <v>633</v>
      </c>
      <c r="F274" t="s">
        <v>658</v>
      </c>
      <c r="G274" s="8" t="s">
        <v>659</v>
      </c>
      <c r="H274" s="9"/>
      <c r="I274" s="10">
        <f>IF(H274="","",H274/5)</f>
      </c>
      <c r="J274" s="11">
        <f>IF(H274="","",VLOOKUP(H274,Escala!$A$2:$C$7,3,FALSE))</f>
      </c>
    </row>
    <row r="275" spans="1:10" x14ac:dyDescent="0.25">
      <c r="A275" s="12">
        <v>274</v>
      </c>
      <c r="B275" s="12" t="s">
        <v>660</v>
      </c>
      <c r="C275" s="13" t="s">
        <v>661</v>
      </c>
      <c r="D275" s="12" t="s">
        <v>662</v>
      </c>
      <c r="E275" s="13" t="s">
        <v>663</v>
      </c>
      <c r="F275" s="12" t="s">
        <v>664</v>
      </c>
      <c r="G275" s="13" t="s">
        <v>665</v>
      </c>
      <c r="H275" s="9"/>
      <c r="I275" s="10">
        <f>IF(H275="","",H275/5)</f>
      </c>
      <c r="J275" s="11">
        <f>IF(H275="","",VLOOKUP(H275,Escala!$A$2:$C$7,3,FALSE))</f>
      </c>
    </row>
    <row r="276" spans="1:10" x14ac:dyDescent="0.25">
      <c r="A276">
        <v>275</v>
      </c>
      <c r="B276" t="s">
        <v>660</v>
      </c>
      <c r="C276" s="8" t="s">
        <v>661</v>
      </c>
      <c r="D276" t="s">
        <v>662</v>
      </c>
      <c r="E276" s="8" t="s">
        <v>663</v>
      </c>
      <c r="F276" t="s">
        <v>666</v>
      </c>
      <c r="G276" s="8" t="s">
        <v>667</v>
      </c>
      <c r="H276" s="9"/>
      <c r="I276" s="10">
        <f>IF(H276="","",H276/5)</f>
      </c>
      <c r="J276" s="11">
        <f>IF(H276="","",VLOOKUP(H276,Escala!$A$2:$C$7,3,FALSE))</f>
      </c>
    </row>
    <row r="277" spans="1:10" x14ac:dyDescent="0.25">
      <c r="A277" s="12">
        <v>276</v>
      </c>
      <c r="B277" s="12" t="s">
        <v>660</v>
      </c>
      <c r="C277" s="13" t="s">
        <v>661</v>
      </c>
      <c r="D277" s="12" t="s">
        <v>662</v>
      </c>
      <c r="E277" s="13" t="s">
        <v>663</v>
      </c>
      <c r="F277" s="12" t="s">
        <v>668</v>
      </c>
      <c r="G277" s="13" t="s">
        <v>669</v>
      </c>
      <c r="H277" s="9"/>
      <c r="I277" s="10">
        <f>IF(H277="","",H277/5)</f>
      </c>
      <c r="J277" s="11">
        <f>IF(H277="","",VLOOKUP(H277,Escala!$A$2:$C$7,3,FALSE))</f>
      </c>
    </row>
    <row r="278" spans="1:10" x14ac:dyDescent="0.25">
      <c r="A278">
        <v>277</v>
      </c>
      <c r="B278" t="s">
        <v>660</v>
      </c>
      <c r="C278" s="8" t="s">
        <v>661</v>
      </c>
      <c r="D278" t="s">
        <v>662</v>
      </c>
      <c r="E278" s="8" t="s">
        <v>663</v>
      </c>
      <c r="F278" t="s">
        <v>670</v>
      </c>
      <c r="G278" s="8" t="s">
        <v>671</v>
      </c>
      <c r="H278" s="9"/>
      <c r="I278" s="10">
        <f>IF(H278="","",H278/5)</f>
      </c>
      <c r="J278" s="11">
        <f>IF(H278="","",VLOOKUP(H278,Escala!$A$2:$C$7,3,FALSE))</f>
      </c>
    </row>
    <row r="279" spans="1:10" x14ac:dyDescent="0.25">
      <c r="A279" s="12">
        <v>278</v>
      </c>
      <c r="B279" s="12" t="s">
        <v>660</v>
      </c>
      <c r="C279" s="13" t="s">
        <v>661</v>
      </c>
      <c r="D279" s="12" t="s">
        <v>662</v>
      </c>
      <c r="E279" s="13" t="s">
        <v>663</v>
      </c>
      <c r="F279" s="12" t="s">
        <v>672</v>
      </c>
      <c r="G279" s="13" t="s">
        <v>673</v>
      </c>
      <c r="H279" s="9"/>
      <c r="I279" s="10">
        <f>IF(H279="","",H279/5)</f>
      </c>
      <c r="J279" s="11">
        <f>IF(H279="","",VLOOKUP(H279,Escala!$A$2:$C$7,3,FALSE))</f>
      </c>
    </row>
    <row r="280" spans="1:10" x14ac:dyDescent="0.25">
      <c r="A280">
        <v>279</v>
      </c>
      <c r="B280" t="s">
        <v>660</v>
      </c>
      <c r="C280" s="8" t="s">
        <v>661</v>
      </c>
      <c r="D280" t="s">
        <v>662</v>
      </c>
      <c r="E280" s="8" t="s">
        <v>663</v>
      </c>
      <c r="F280" t="s">
        <v>674</v>
      </c>
      <c r="G280" s="8" t="s">
        <v>675</v>
      </c>
      <c r="H280" s="9"/>
      <c r="I280" s="10">
        <f>IF(H280="","",H280/5)</f>
      </c>
      <c r="J280" s="11">
        <f>IF(H280="","",VLOOKUP(H280,Escala!$A$2:$C$7,3,FALSE))</f>
      </c>
    </row>
    <row r="281" spans="1:10" x14ac:dyDescent="0.25">
      <c r="A281" s="12">
        <v>280</v>
      </c>
      <c r="B281" s="12" t="s">
        <v>660</v>
      </c>
      <c r="C281" s="13" t="s">
        <v>661</v>
      </c>
      <c r="D281" s="12" t="s">
        <v>662</v>
      </c>
      <c r="E281" s="13" t="s">
        <v>663</v>
      </c>
      <c r="F281" s="12" t="s">
        <v>676</v>
      </c>
      <c r="G281" s="13" t="s">
        <v>677</v>
      </c>
      <c r="H281" s="9"/>
      <c r="I281" s="10">
        <f>IF(H281="","",H281/5)</f>
      </c>
      <c r="J281" s="11">
        <f>IF(H281="","",VLOOKUP(H281,Escala!$A$2:$C$7,3,FALSE))</f>
      </c>
    </row>
    <row r="282" spans="1:10" x14ac:dyDescent="0.25">
      <c r="A282">
        <v>281</v>
      </c>
      <c r="B282" t="s">
        <v>660</v>
      </c>
      <c r="C282" s="8" t="s">
        <v>661</v>
      </c>
      <c r="D282" t="s">
        <v>662</v>
      </c>
      <c r="E282" s="8" t="s">
        <v>663</v>
      </c>
      <c r="F282" t="s">
        <v>678</v>
      </c>
      <c r="G282" s="8" t="s">
        <v>679</v>
      </c>
      <c r="H282" s="9"/>
      <c r="I282" s="10">
        <f>IF(H282="","",H282/5)</f>
      </c>
      <c r="J282" s="11">
        <f>IF(H282="","",VLOOKUP(H282,Escala!$A$2:$C$7,3,FALSE))</f>
      </c>
    </row>
    <row r="283" spans="1:10" x14ac:dyDescent="0.25">
      <c r="A283" s="12">
        <v>282</v>
      </c>
      <c r="B283" s="12" t="s">
        <v>660</v>
      </c>
      <c r="C283" s="13" t="s">
        <v>661</v>
      </c>
      <c r="D283" s="12" t="s">
        <v>662</v>
      </c>
      <c r="E283" s="13" t="s">
        <v>663</v>
      </c>
      <c r="F283" s="12" t="s">
        <v>680</v>
      </c>
      <c r="G283" s="13" t="s">
        <v>681</v>
      </c>
      <c r="H283" s="9"/>
      <c r="I283" s="10">
        <f>IF(H283="","",H283/5)</f>
      </c>
      <c r="J283" s="11">
        <f>IF(H283="","",VLOOKUP(H283,Escala!$A$2:$C$7,3,FALSE))</f>
      </c>
    </row>
    <row r="284" spans="1:10" x14ac:dyDescent="0.25">
      <c r="A284">
        <v>283</v>
      </c>
      <c r="B284" t="s">
        <v>660</v>
      </c>
      <c r="C284" s="8" t="s">
        <v>661</v>
      </c>
      <c r="D284" t="s">
        <v>662</v>
      </c>
      <c r="E284" s="8" t="s">
        <v>663</v>
      </c>
      <c r="F284" t="s">
        <v>682</v>
      </c>
      <c r="G284" s="8" t="s">
        <v>683</v>
      </c>
      <c r="H284" s="9"/>
      <c r="I284" s="10">
        <f>IF(H284="","",H284/5)</f>
      </c>
      <c r="J284" s="11">
        <f>IF(H284="","",VLOOKUP(H284,Escala!$A$2:$C$7,3,FALSE))</f>
      </c>
    </row>
    <row r="285" spans="1:10" x14ac:dyDescent="0.25">
      <c r="A285" s="12">
        <v>284</v>
      </c>
      <c r="B285" s="12" t="s">
        <v>660</v>
      </c>
      <c r="C285" s="13" t="s">
        <v>661</v>
      </c>
      <c r="D285" s="12" t="s">
        <v>662</v>
      </c>
      <c r="E285" s="13" t="s">
        <v>663</v>
      </c>
      <c r="F285" s="12" t="s">
        <v>684</v>
      </c>
      <c r="G285" s="13" t="s">
        <v>685</v>
      </c>
      <c r="H285" s="9"/>
      <c r="I285" s="10">
        <f>IF(H285="","",H285/5)</f>
      </c>
      <c r="J285" s="11">
        <f>IF(H285="","",VLOOKUP(H285,Escala!$A$2:$C$7,3,FALSE))</f>
      </c>
    </row>
    <row r="286" spans="1:10" x14ac:dyDescent="0.25">
      <c r="A286">
        <v>285</v>
      </c>
      <c r="B286" t="s">
        <v>660</v>
      </c>
      <c r="C286" s="8" t="s">
        <v>661</v>
      </c>
      <c r="D286" t="s">
        <v>662</v>
      </c>
      <c r="E286" s="8" t="s">
        <v>663</v>
      </c>
      <c r="F286" t="s">
        <v>686</v>
      </c>
      <c r="G286" s="8" t="s">
        <v>687</v>
      </c>
      <c r="H286" s="9"/>
      <c r="I286" s="10">
        <f>IF(H286="","",H286/5)</f>
      </c>
      <c r="J286" s="11">
        <f>IF(H286="","",VLOOKUP(H286,Escala!$A$2:$C$7,3,FALSE))</f>
      </c>
    </row>
    <row r="287" spans="1:10" x14ac:dyDescent="0.25">
      <c r="A287" s="12">
        <v>286</v>
      </c>
      <c r="B287" s="12" t="s">
        <v>660</v>
      </c>
      <c r="C287" s="13" t="s">
        <v>661</v>
      </c>
      <c r="D287" s="12" t="s">
        <v>662</v>
      </c>
      <c r="E287" s="13" t="s">
        <v>663</v>
      </c>
      <c r="F287" s="12" t="s">
        <v>688</v>
      </c>
      <c r="G287" s="13" t="s">
        <v>689</v>
      </c>
      <c r="H287" s="9"/>
      <c r="I287" s="10">
        <f>IF(H287="","",H287/5)</f>
      </c>
      <c r="J287" s="11">
        <f>IF(H287="","",VLOOKUP(H287,Escala!$A$2:$C$7,3,FALSE))</f>
      </c>
    </row>
    <row r="288" spans="1:10" x14ac:dyDescent="0.25">
      <c r="A288">
        <v>287</v>
      </c>
      <c r="B288" t="s">
        <v>660</v>
      </c>
      <c r="C288" s="8" t="s">
        <v>661</v>
      </c>
      <c r="D288" t="s">
        <v>662</v>
      </c>
      <c r="E288" s="8" t="s">
        <v>663</v>
      </c>
      <c r="F288" t="s">
        <v>690</v>
      </c>
      <c r="G288" s="8" t="s">
        <v>691</v>
      </c>
      <c r="H288" s="9"/>
      <c r="I288" s="10">
        <f>IF(H288="","",H288/5)</f>
      </c>
      <c r="J288" s="11">
        <f>IF(H288="","",VLOOKUP(H288,Escala!$A$2:$C$7,3,FALSE))</f>
      </c>
    </row>
    <row r="289" spans="1:10" x14ac:dyDescent="0.25">
      <c r="A289" s="12">
        <v>288</v>
      </c>
      <c r="B289" s="12" t="s">
        <v>660</v>
      </c>
      <c r="C289" s="13" t="s">
        <v>661</v>
      </c>
      <c r="D289" s="12" t="s">
        <v>662</v>
      </c>
      <c r="E289" s="13" t="s">
        <v>663</v>
      </c>
      <c r="F289" s="12" t="s">
        <v>692</v>
      </c>
      <c r="G289" s="13" t="s">
        <v>693</v>
      </c>
      <c r="H289" s="9"/>
      <c r="I289" s="10">
        <f>IF(H289="","",H289/5)</f>
      </c>
      <c r="J289" s="11">
        <f>IF(H289="","",VLOOKUP(H289,Escala!$A$2:$C$7,3,FALSE))</f>
      </c>
    </row>
    <row r="290" spans="1:10" x14ac:dyDescent="0.25">
      <c r="A290">
        <v>289</v>
      </c>
      <c r="B290" t="s">
        <v>660</v>
      </c>
      <c r="C290" s="8" t="s">
        <v>661</v>
      </c>
      <c r="D290" t="s">
        <v>662</v>
      </c>
      <c r="E290" s="8" t="s">
        <v>663</v>
      </c>
      <c r="F290" t="s">
        <v>694</v>
      </c>
      <c r="G290" s="8" t="s">
        <v>695</v>
      </c>
      <c r="H290" s="9"/>
      <c r="I290" s="10">
        <f>IF(H290="","",H290/5)</f>
      </c>
      <c r="J290" s="11">
        <f>IF(H290="","",VLOOKUP(H290,Escala!$A$2:$C$7,3,FALSE))</f>
      </c>
    </row>
    <row r="291" spans="1:10" x14ac:dyDescent="0.25">
      <c r="A291" s="12">
        <v>290</v>
      </c>
      <c r="B291" s="12" t="s">
        <v>660</v>
      </c>
      <c r="C291" s="13" t="s">
        <v>661</v>
      </c>
      <c r="D291" s="12" t="s">
        <v>662</v>
      </c>
      <c r="E291" s="13" t="s">
        <v>663</v>
      </c>
      <c r="F291" s="12" t="s">
        <v>696</v>
      </c>
      <c r="G291" s="13" t="s">
        <v>697</v>
      </c>
      <c r="H291" s="9"/>
      <c r="I291" s="10">
        <f>IF(H291="","",H291/5)</f>
      </c>
      <c r="J291" s="11">
        <f>IF(H291="","",VLOOKUP(H291,Escala!$A$2:$C$7,3,FALSE))</f>
      </c>
    </row>
    <row r="292" spans="1:10" x14ac:dyDescent="0.25">
      <c r="A292">
        <v>291</v>
      </c>
      <c r="B292" t="s">
        <v>660</v>
      </c>
      <c r="C292" s="8" t="s">
        <v>661</v>
      </c>
      <c r="D292" t="s">
        <v>662</v>
      </c>
      <c r="E292" s="8" t="s">
        <v>663</v>
      </c>
      <c r="F292" t="s">
        <v>698</v>
      </c>
      <c r="G292" s="8" t="s">
        <v>699</v>
      </c>
      <c r="H292" s="9"/>
      <c r="I292" s="10">
        <f>IF(H292="","",H292/5)</f>
      </c>
      <c r="J292" s="11">
        <f>IF(H292="","",VLOOKUP(H292,Escala!$A$2:$C$7,3,FALSE))</f>
      </c>
    </row>
    <row r="293" spans="1:10" x14ac:dyDescent="0.25">
      <c r="A293" s="12">
        <v>292</v>
      </c>
      <c r="B293" s="12" t="s">
        <v>660</v>
      </c>
      <c r="C293" s="13" t="s">
        <v>661</v>
      </c>
      <c r="D293" s="12" t="s">
        <v>662</v>
      </c>
      <c r="E293" s="13" t="s">
        <v>663</v>
      </c>
      <c r="F293" s="12" t="s">
        <v>700</v>
      </c>
      <c r="G293" s="13" t="s">
        <v>701</v>
      </c>
      <c r="H293" s="9"/>
      <c r="I293" s="10">
        <f>IF(H293="","",H293/5)</f>
      </c>
      <c r="J293" s="11">
        <f>IF(H293="","",VLOOKUP(H293,Escala!$A$2:$C$7,3,FALSE))</f>
      </c>
    </row>
    <row r="294" spans="1:10" x14ac:dyDescent="0.25">
      <c r="A294">
        <v>293</v>
      </c>
      <c r="B294" t="s">
        <v>660</v>
      </c>
      <c r="C294" s="8" t="s">
        <v>661</v>
      </c>
      <c r="D294" t="s">
        <v>662</v>
      </c>
      <c r="E294" s="8" t="s">
        <v>663</v>
      </c>
      <c r="F294" t="s">
        <v>702</v>
      </c>
      <c r="G294" s="8" t="s">
        <v>703</v>
      </c>
      <c r="H294" s="9"/>
      <c r="I294" s="10">
        <f>IF(H294="","",H294/5)</f>
      </c>
      <c r="J294" s="11">
        <f>IF(H294="","",VLOOKUP(H294,Escala!$A$2:$C$7,3,FALSE))</f>
      </c>
    </row>
    <row r="295" spans="1:10" x14ac:dyDescent="0.25">
      <c r="A295" s="12">
        <v>294</v>
      </c>
      <c r="B295" s="12" t="s">
        <v>660</v>
      </c>
      <c r="C295" s="13" t="s">
        <v>661</v>
      </c>
      <c r="D295" s="12" t="s">
        <v>662</v>
      </c>
      <c r="E295" s="13" t="s">
        <v>663</v>
      </c>
      <c r="F295" s="12" t="s">
        <v>704</v>
      </c>
      <c r="G295" s="13" t="s">
        <v>705</v>
      </c>
      <c r="H295" s="9"/>
      <c r="I295" s="10">
        <f>IF(H295="","",H295/5)</f>
      </c>
      <c r="J295" s="11">
        <f>IF(H295="","",VLOOKUP(H295,Escala!$A$2:$C$7,3,FALSE))</f>
      </c>
    </row>
    <row r="296" spans="1:10" x14ac:dyDescent="0.25">
      <c r="A296">
        <v>295</v>
      </c>
      <c r="B296" t="s">
        <v>660</v>
      </c>
      <c r="C296" s="8" t="s">
        <v>661</v>
      </c>
      <c r="D296" t="s">
        <v>662</v>
      </c>
      <c r="E296" s="8" t="s">
        <v>663</v>
      </c>
      <c r="F296" t="s">
        <v>706</v>
      </c>
      <c r="G296" s="8" t="s">
        <v>707</v>
      </c>
      <c r="H296" s="9"/>
      <c r="I296" s="10">
        <f>IF(H296="","",H296/5)</f>
      </c>
      <c r="J296" s="11">
        <f>IF(H296="","",VLOOKUP(H296,Escala!$A$2:$C$7,3,FALSE))</f>
      </c>
    </row>
    <row r="297" spans="1:10" x14ac:dyDescent="0.25">
      <c r="A297" s="12">
        <v>296</v>
      </c>
      <c r="B297" s="12" t="s">
        <v>660</v>
      </c>
      <c r="C297" s="13" t="s">
        <v>661</v>
      </c>
      <c r="D297" s="12" t="s">
        <v>662</v>
      </c>
      <c r="E297" s="13" t="s">
        <v>663</v>
      </c>
      <c r="F297" s="12" t="s">
        <v>708</v>
      </c>
      <c r="G297" s="13" t="s">
        <v>709</v>
      </c>
      <c r="H297" s="9"/>
      <c r="I297" s="10">
        <f>IF(H297="","",H297/5)</f>
      </c>
      <c r="J297" s="11">
        <f>IF(H297="","",VLOOKUP(H297,Escala!$A$2:$C$7,3,FALSE))</f>
      </c>
    </row>
    <row r="298" spans="1:10" x14ac:dyDescent="0.25">
      <c r="A298">
        <v>297</v>
      </c>
      <c r="B298" t="s">
        <v>660</v>
      </c>
      <c r="C298" s="8" t="s">
        <v>661</v>
      </c>
      <c r="D298" t="s">
        <v>662</v>
      </c>
      <c r="E298" s="8" t="s">
        <v>663</v>
      </c>
      <c r="F298" t="s">
        <v>710</v>
      </c>
      <c r="G298" s="8" t="s">
        <v>711</v>
      </c>
      <c r="H298" s="9"/>
      <c r="I298" s="10">
        <f>IF(H298="","",H298/5)</f>
      </c>
      <c r="J298" s="11">
        <f>IF(H298="","",VLOOKUP(H298,Escala!$A$2:$C$7,3,FALSE))</f>
      </c>
    </row>
    <row r="299" spans="1:10" x14ac:dyDescent="0.25">
      <c r="A299" s="12">
        <v>298</v>
      </c>
      <c r="B299" s="12" t="s">
        <v>660</v>
      </c>
      <c r="C299" s="13" t="s">
        <v>661</v>
      </c>
      <c r="D299" s="12" t="s">
        <v>662</v>
      </c>
      <c r="E299" s="13" t="s">
        <v>663</v>
      </c>
      <c r="F299" s="12" t="s">
        <v>712</v>
      </c>
      <c r="G299" s="13" t="s">
        <v>713</v>
      </c>
      <c r="H299" s="9"/>
      <c r="I299" s="10">
        <f>IF(H299="","",H299/5)</f>
      </c>
      <c r="J299" s="11">
        <f>IF(H299="","",VLOOKUP(H299,Escala!$A$2:$C$7,3,FALSE))</f>
      </c>
    </row>
    <row r="300" spans="1:10" x14ac:dyDescent="0.25">
      <c r="A300">
        <v>299</v>
      </c>
      <c r="B300" t="s">
        <v>660</v>
      </c>
      <c r="C300" s="8" t="s">
        <v>661</v>
      </c>
      <c r="D300" t="s">
        <v>662</v>
      </c>
      <c r="E300" s="8" t="s">
        <v>663</v>
      </c>
      <c r="F300" t="s">
        <v>714</v>
      </c>
      <c r="G300" s="8" t="s">
        <v>715</v>
      </c>
      <c r="H300" s="9"/>
      <c r="I300" s="10">
        <f>IF(H300="","",H300/5)</f>
      </c>
      <c r="J300" s="11">
        <f>IF(H300="","",VLOOKUP(H300,Escala!$A$2:$C$7,3,FALSE))</f>
      </c>
    </row>
    <row r="301" spans="1:10" x14ac:dyDescent="0.25">
      <c r="A301" s="12">
        <v>300</v>
      </c>
      <c r="B301" s="12" t="s">
        <v>660</v>
      </c>
      <c r="C301" s="13" t="s">
        <v>661</v>
      </c>
      <c r="D301" s="12" t="s">
        <v>662</v>
      </c>
      <c r="E301" s="13" t="s">
        <v>663</v>
      </c>
      <c r="F301" s="12" t="s">
        <v>716</v>
      </c>
      <c r="G301" s="13" t="s">
        <v>717</v>
      </c>
      <c r="H301" s="9"/>
      <c r="I301" s="10">
        <f>IF(H301="","",H301/5)</f>
      </c>
      <c r="J301" s="11">
        <f>IF(H301="","",VLOOKUP(H301,Escala!$A$2:$C$7,3,FALSE))</f>
      </c>
    </row>
    <row r="302" spans="1:10" x14ac:dyDescent="0.25">
      <c r="A302">
        <v>301</v>
      </c>
      <c r="B302" t="s">
        <v>660</v>
      </c>
      <c r="C302" s="8" t="s">
        <v>661</v>
      </c>
      <c r="D302" t="s">
        <v>662</v>
      </c>
      <c r="E302" s="8" t="s">
        <v>663</v>
      </c>
      <c r="F302" t="s">
        <v>718</v>
      </c>
      <c r="G302" s="8" t="s">
        <v>719</v>
      </c>
      <c r="H302" s="9"/>
      <c r="I302" s="10">
        <f>IF(H302="","",H302/5)</f>
      </c>
      <c r="J302" s="11">
        <f>IF(H302="","",VLOOKUP(H302,Escala!$A$2:$C$7,3,FALSE))</f>
      </c>
    </row>
    <row r="303" spans="1:10" x14ac:dyDescent="0.25">
      <c r="A303" s="12">
        <v>302</v>
      </c>
      <c r="B303" s="12" t="s">
        <v>660</v>
      </c>
      <c r="C303" s="13" t="s">
        <v>661</v>
      </c>
      <c r="D303" s="12" t="s">
        <v>662</v>
      </c>
      <c r="E303" s="13" t="s">
        <v>663</v>
      </c>
      <c r="F303" s="12" t="s">
        <v>720</v>
      </c>
      <c r="G303" s="13" t="s">
        <v>721</v>
      </c>
      <c r="H303" s="9"/>
      <c r="I303" s="10">
        <f>IF(H303="","",H303/5)</f>
      </c>
      <c r="J303" s="11">
        <f>IF(H303="","",VLOOKUP(H303,Escala!$A$2:$C$7,3,FALSE))</f>
      </c>
    </row>
    <row r="304" spans="1:10" x14ac:dyDescent="0.25">
      <c r="A304">
        <v>303</v>
      </c>
      <c r="B304" t="s">
        <v>660</v>
      </c>
      <c r="C304" s="8" t="s">
        <v>661</v>
      </c>
      <c r="D304" t="s">
        <v>662</v>
      </c>
      <c r="E304" s="8" t="s">
        <v>663</v>
      </c>
      <c r="F304" t="s">
        <v>722</v>
      </c>
      <c r="G304" s="8" t="s">
        <v>723</v>
      </c>
      <c r="H304" s="9"/>
      <c r="I304" s="10">
        <f>IF(H304="","",H304/5)</f>
      </c>
      <c r="J304" s="11">
        <f>IF(H304="","",VLOOKUP(H304,Escala!$A$2:$C$7,3,FALSE))</f>
      </c>
    </row>
    <row r="305" spans="1:10" x14ac:dyDescent="0.25">
      <c r="A305" s="12">
        <v>304</v>
      </c>
      <c r="B305" s="12" t="s">
        <v>660</v>
      </c>
      <c r="C305" s="13" t="s">
        <v>661</v>
      </c>
      <c r="D305" s="12" t="s">
        <v>662</v>
      </c>
      <c r="E305" s="13" t="s">
        <v>663</v>
      </c>
      <c r="F305" s="12" t="s">
        <v>724</v>
      </c>
      <c r="G305" s="13" t="s">
        <v>725</v>
      </c>
      <c r="H305" s="9"/>
      <c r="I305" s="10">
        <f>IF(H305="","",H305/5)</f>
      </c>
      <c r="J305" s="11">
        <f>IF(H305="","",VLOOKUP(H305,Escala!$A$2:$C$7,3,FALSE))</f>
      </c>
    </row>
    <row r="306" spans="1:10" x14ac:dyDescent="0.25">
      <c r="A306">
        <v>305</v>
      </c>
      <c r="B306" t="s">
        <v>660</v>
      </c>
      <c r="C306" s="8" t="s">
        <v>661</v>
      </c>
      <c r="D306" t="s">
        <v>662</v>
      </c>
      <c r="E306" s="8" t="s">
        <v>663</v>
      </c>
      <c r="F306" t="s">
        <v>726</v>
      </c>
      <c r="G306" s="8" t="s">
        <v>727</v>
      </c>
      <c r="H306" s="9"/>
      <c r="I306" s="10">
        <f>IF(H306="","",H306/5)</f>
      </c>
      <c r="J306" s="11">
        <f>IF(H306="","",VLOOKUP(H306,Escala!$A$2:$C$7,3,FALSE))</f>
      </c>
    </row>
    <row r="307" spans="1:10" x14ac:dyDescent="0.25">
      <c r="A307" s="12">
        <v>306</v>
      </c>
      <c r="B307" s="12" t="s">
        <v>660</v>
      </c>
      <c r="C307" s="13" t="s">
        <v>661</v>
      </c>
      <c r="D307" s="12" t="s">
        <v>662</v>
      </c>
      <c r="E307" s="13" t="s">
        <v>663</v>
      </c>
      <c r="F307" s="12" t="s">
        <v>728</v>
      </c>
      <c r="G307" s="13" t="s">
        <v>729</v>
      </c>
      <c r="H307" s="9"/>
      <c r="I307" s="10">
        <f>IF(H307="","",H307/5)</f>
      </c>
      <c r="J307" s="11">
        <f>IF(H307="","",VLOOKUP(H307,Escala!$A$2:$C$7,3,FALSE))</f>
      </c>
    </row>
    <row r="308" spans="1:10" x14ac:dyDescent="0.25">
      <c r="A308">
        <v>307</v>
      </c>
      <c r="B308" t="s">
        <v>660</v>
      </c>
      <c r="C308" s="8" t="s">
        <v>661</v>
      </c>
      <c r="D308" t="s">
        <v>662</v>
      </c>
      <c r="E308" s="8" t="s">
        <v>663</v>
      </c>
      <c r="F308" t="s">
        <v>730</v>
      </c>
      <c r="G308" s="8" t="s">
        <v>731</v>
      </c>
      <c r="H308" s="9"/>
      <c r="I308" s="10">
        <f>IF(H308="","",H308/5)</f>
      </c>
      <c r="J308" s="11">
        <f>IF(H308="","",VLOOKUP(H308,Escala!$A$2:$C$7,3,FALSE))</f>
      </c>
    </row>
    <row r="309" spans="1:10" x14ac:dyDescent="0.25">
      <c r="A309" s="12">
        <v>308</v>
      </c>
      <c r="B309" s="12" t="s">
        <v>660</v>
      </c>
      <c r="C309" s="13" t="s">
        <v>661</v>
      </c>
      <c r="D309" s="12" t="s">
        <v>662</v>
      </c>
      <c r="E309" s="13" t="s">
        <v>663</v>
      </c>
      <c r="F309" s="12" t="s">
        <v>732</v>
      </c>
      <c r="G309" s="13" t="s">
        <v>733</v>
      </c>
      <c r="H309" s="9"/>
      <c r="I309" s="10">
        <f>IF(H309="","",H309/5)</f>
      </c>
      <c r="J309" s="11">
        <f>IF(H309="","",VLOOKUP(H309,Escala!$A$2:$C$7,3,FALSE))</f>
      </c>
    </row>
    <row r="310" spans="1:10" x14ac:dyDescent="0.25">
      <c r="A310">
        <v>309</v>
      </c>
      <c r="B310" t="s">
        <v>660</v>
      </c>
      <c r="C310" s="8" t="s">
        <v>661</v>
      </c>
      <c r="D310" t="s">
        <v>662</v>
      </c>
      <c r="E310" s="8" t="s">
        <v>663</v>
      </c>
      <c r="F310" t="s">
        <v>734</v>
      </c>
      <c r="G310" s="8" t="s">
        <v>735</v>
      </c>
      <c r="H310" s="9"/>
      <c r="I310" s="10">
        <f>IF(H310="","",H310/5)</f>
      </c>
      <c r="J310" s="11">
        <f>IF(H310="","",VLOOKUP(H310,Escala!$A$2:$C$7,3,FALSE))</f>
      </c>
    </row>
    <row r="311" spans="1:10" x14ac:dyDescent="0.25">
      <c r="A311" s="12">
        <v>310</v>
      </c>
      <c r="B311" s="12" t="s">
        <v>660</v>
      </c>
      <c r="C311" s="13" t="s">
        <v>661</v>
      </c>
      <c r="D311" s="12" t="s">
        <v>662</v>
      </c>
      <c r="E311" s="13" t="s">
        <v>663</v>
      </c>
      <c r="F311" s="12" t="s">
        <v>736</v>
      </c>
      <c r="G311" s="13" t="s">
        <v>737</v>
      </c>
      <c r="H311" s="9"/>
      <c r="I311" s="10">
        <f>IF(H311="","",H311/5)</f>
      </c>
      <c r="J311" s="11">
        <f>IF(H311="","",VLOOKUP(H311,Escala!$A$2:$C$7,3,FALSE))</f>
      </c>
    </row>
    <row r="312" spans="1:10" x14ac:dyDescent="0.25">
      <c r="A312">
        <v>311</v>
      </c>
      <c r="B312" t="s">
        <v>660</v>
      </c>
      <c r="C312" s="8" t="s">
        <v>661</v>
      </c>
      <c r="D312" t="s">
        <v>738</v>
      </c>
      <c r="E312" s="8" t="s">
        <v>739</v>
      </c>
      <c r="F312" t="s">
        <v>740</v>
      </c>
      <c r="G312" s="8" t="s">
        <v>741</v>
      </c>
      <c r="H312" s="9"/>
      <c r="I312" s="10">
        <f>IF(H312="","",H312/5)</f>
      </c>
      <c r="J312" s="11">
        <f>IF(H312="","",VLOOKUP(H312,Escala!$A$2:$C$7,3,FALSE))</f>
      </c>
    </row>
    <row r="313" spans="1:10" x14ac:dyDescent="0.25">
      <c r="A313" s="12">
        <v>312</v>
      </c>
      <c r="B313" s="12" t="s">
        <v>660</v>
      </c>
      <c r="C313" s="13" t="s">
        <v>661</v>
      </c>
      <c r="D313" s="12" t="s">
        <v>738</v>
      </c>
      <c r="E313" s="13" t="s">
        <v>739</v>
      </c>
      <c r="F313" s="12" t="s">
        <v>742</v>
      </c>
      <c r="G313" s="13" t="s">
        <v>743</v>
      </c>
      <c r="H313" s="9"/>
      <c r="I313" s="10">
        <f>IF(H313="","",H313/5)</f>
      </c>
      <c r="J313" s="11">
        <f>IF(H313="","",VLOOKUP(H313,Escala!$A$2:$C$7,3,FALSE))</f>
      </c>
    </row>
    <row r="314" spans="1:10" x14ac:dyDescent="0.25">
      <c r="A314">
        <v>313</v>
      </c>
      <c r="B314" t="s">
        <v>660</v>
      </c>
      <c r="C314" s="8" t="s">
        <v>661</v>
      </c>
      <c r="D314" t="s">
        <v>738</v>
      </c>
      <c r="E314" s="8" t="s">
        <v>739</v>
      </c>
      <c r="F314" t="s">
        <v>744</v>
      </c>
      <c r="G314" s="8" t="s">
        <v>745</v>
      </c>
      <c r="H314" s="9"/>
      <c r="I314" s="10">
        <f>IF(H314="","",H314/5)</f>
      </c>
      <c r="J314" s="11">
        <f>IF(H314="","",VLOOKUP(H314,Escala!$A$2:$C$7,3,FALSE))</f>
      </c>
    </row>
    <row r="315" spans="1:10" x14ac:dyDescent="0.25">
      <c r="A315" s="12">
        <v>314</v>
      </c>
      <c r="B315" s="12" t="s">
        <v>660</v>
      </c>
      <c r="C315" s="13" t="s">
        <v>661</v>
      </c>
      <c r="D315" s="12" t="s">
        <v>738</v>
      </c>
      <c r="E315" s="13" t="s">
        <v>739</v>
      </c>
      <c r="F315" s="12" t="s">
        <v>746</v>
      </c>
      <c r="G315" s="13" t="s">
        <v>747</v>
      </c>
      <c r="H315" s="9"/>
      <c r="I315" s="10">
        <f>IF(H315="","",H315/5)</f>
      </c>
      <c r="J315" s="11">
        <f>IF(H315="","",VLOOKUP(H315,Escala!$A$2:$C$7,3,FALSE))</f>
      </c>
    </row>
    <row r="316" spans="1:10" x14ac:dyDescent="0.25">
      <c r="A316">
        <v>315</v>
      </c>
      <c r="B316" t="s">
        <v>660</v>
      </c>
      <c r="C316" s="8" t="s">
        <v>661</v>
      </c>
      <c r="D316" t="s">
        <v>738</v>
      </c>
      <c r="E316" s="8" t="s">
        <v>739</v>
      </c>
      <c r="F316" t="s">
        <v>748</v>
      </c>
      <c r="G316" s="8" t="s">
        <v>749</v>
      </c>
      <c r="H316" s="9"/>
      <c r="I316" s="10">
        <f>IF(H316="","",H316/5)</f>
      </c>
      <c r="J316" s="11">
        <f>IF(H316="","",VLOOKUP(H316,Escala!$A$2:$C$7,3,FALSE))</f>
      </c>
    </row>
    <row r="317" spans="1:10" x14ac:dyDescent="0.25">
      <c r="A317" s="12">
        <v>316</v>
      </c>
      <c r="B317" s="12" t="s">
        <v>660</v>
      </c>
      <c r="C317" s="13" t="s">
        <v>661</v>
      </c>
      <c r="D317" s="12" t="s">
        <v>738</v>
      </c>
      <c r="E317" s="13" t="s">
        <v>739</v>
      </c>
      <c r="F317" s="12" t="s">
        <v>750</v>
      </c>
      <c r="G317" s="13" t="s">
        <v>751</v>
      </c>
      <c r="H317" s="9"/>
      <c r="I317" s="10">
        <f>IF(H317="","",H317/5)</f>
      </c>
      <c r="J317" s="11">
        <f>IF(H317="","",VLOOKUP(H317,Escala!$A$2:$C$7,3,FALSE))</f>
      </c>
    </row>
    <row r="318" spans="1:10" x14ac:dyDescent="0.25">
      <c r="A318">
        <v>317</v>
      </c>
      <c r="B318" t="s">
        <v>660</v>
      </c>
      <c r="C318" s="8" t="s">
        <v>661</v>
      </c>
      <c r="D318" t="s">
        <v>738</v>
      </c>
      <c r="E318" s="8" t="s">
        <v>739</v>
      </c>
      <c r="F318" t="s">
        <v>752</v>
      </c>
      <c r="G318" s="8" t="s">
        <v>753</v>
      </c>
      <c r="H318" s="9"/>
      <c r="I318" s="10">
        <f>IF(H318="","",H318/5)</f>
      </c>
      <c r="J318" s="11">
        <f>IF(H318="","",VLOOKUP(H318,Escala!$A$2:$C$7,3,FALSE))</f>
      </c>
    </row>
    <row r="319" spans="1:10" x14ac:dyDescent="0.25">
      <c r="A319" s="12">
        <v>318</v>
      </c>
      <c r="B319" s="12" t="s">
        <v>660</v>
      </c>
      <c r="C319" s="13" t="s">
        <v>661</v>
      </c>
      <c r="D319" s="12" t="s">
        <v>738</v>
      </c>
      <c r="E319" s="13" t="s">
        <v>739</v>
      </c>
      <c r="F319" s="12" t="s">
        <v>754</v>
      </c>
      <c r="G319" s="13" t="s">
        <v>755</v>
      </c>
      <c r="H319" s="9"/>
      <c r="I319" s="10">
        <f>IF(H319="","",H319/5)</f>
      </c>
      <c r="J319" s="11">
        <f>IF(H319="","",VLOOKUP(H319,Escala!$A$2:$C$7,3,FALSE))</f>
      </c>
    </row>
    <row r="320" spans="1:10" x14ac:dyDescent="0.25">
      <c r="A320">
        <v>319</v>
      </c>
      <c r="B320" t="s">
        <v>660</v>
      </c>
      <c r="C320" s="8" t="s">
        <v>661</v>
      </c>
      <c r="D320" t="s">
        <v>738</v>
      </c>
      <c r="E320" s="8" t="s">
        <v>739</v>
      </c>
      <c r="F320" t="s">
        <v>756</v>
      </c>
      <c r="G320" s="8" t="s">
        <v>757</v>
      </c>
      <c r="H320" s="9"/>
      <c r="I320" s="10">
        <f>IF(H320="","",H320/5)</f>
      </c>
      <c r="J320" s="11">
        <f>IF(H320="","",VLOOKUP(H320,Escala!$A$2:$C$7,3,FALSE))</f>
      </c>
    </row>
    <row r="321" spans="1:10" x14ac:dyDescent="0.25">
      <c r="A321" s="12">
        <v>320</v>
      </c>
      <c r="B321" s="12" t="s">
        <v>660</v>
      </c>
      <c r="C321" s="13" t="s">
        <v>661</v>
      </c>
      <c r="D321" s="12" t="s">
        <v>758</v>
      </c>
      <c r="E321" s="13" t="s">
        <v>759</v>
      </c>
      <c r="F321" s="12" t="s">
        <v>760</v>
      </c>
      <c r="G321" s="13" t="s">
        <v>761</v>
      </c>
      <c r="H321" s="9"/>
      <c r="I321" s="10">
        <f>IF(H321="","",H321/5)</f>
      </c>
      <c r="J321" s="11">
        <f>IF(H321="","",VLOOKUP(H321,Escala!$A$2:$C$7,3,FALSE))</f>
      </c>
    </row>
    <row r="322" spans="1:10" x14ac:dyDescent="0.25">
      <c r="A322">
        <v>321</v>
      </c>
      <c r="B322" t="s">
        <v>660</v>
      </c>
      <c r="C322" s="8" t="s">
        <v>661</v>
      </c>
      <c r="D322" t="s">
        <v>758</v>
      </c>
      <c r="E322" s="8" t="s">
        <v>759</v>
      </c>
      <c r="F322" t="s">
        <v>762</v>
      </c>
      <c r="G322" s="8" t="s">
        <v>763</v>
      </c>
      <c r="H322" s="9"/>
      <c r="I322" s="10">
        <f>IF(H322="","",H322/5)</f>
      </c>
      <c r="J322" s="11">
        <f>IF(H322="","",VLOOKUP(H322,Escala!$A$2:$C$7,3,FALSE))</f>
      </c>
    </row>
    <row r="323" spans="1:10" x14ac:dyDescent="0.25">
      <c r="A323" s="12">
        <v>322</v>
      </c>
      <c r="B323" s="12" t="s">
        <v>660</v>
      </c>
      <c r="C323" s="13" t="s">
        <v>661</v>
      </c>
      <c r="D323" s="12" t="s">
        <v>758</v>
      </c>
      <c r="E323" s="13" t="s">
        <v>759</v>
      </c>
      <c r="F323" s="12" t="s">
        <v>764</v>
      </c>
      <c r="G323" s="13" t="s">
        <v>765</v>
      </c>
      <c r="H323" s="9"/>
      <c r="I323" s="10">
        <f>IF(H323="","",H323/5)</f>
      </c>
      <c r="J323" s="11">
        <f>IF(H323="","",VLOOKUP(H323,Escala!$A$2:$C$7,3,FALSE))</f>
      </c>
    </row>
    <row r="324" spans="1:10" x14ac:dyDescent="0.25">
      <c r="A324">
        <v>323</v>
      </c>
      <c r="B324" t="s">
        <v>660</v>
      </c>
      <c r="C324" s="8" t="s">
        <v>661</v>
      </c>
      <c r="D324" t="s">
        <v>758</v>
      </c>
      <c r="E324" s="8" t="s">
        <v>759</v>
      </c>
      <c r="F324" t="s">
        <v>766</v>
      </c>
      <c r="G324" s="8" t="s">
        <v>767</v>
      </c>
      <c r="H324" s="9"/>
      <c r="I324" s="10">
        <f>IF(H324="","",H324/5)</f>
      </c>
      <c r="J324" s="11">
        <f>IF(H324="","",VLOOKUP(H324,Escala!$A$2:$C$7,3,FALSE))</f>
      </c>
    </row>
    <row r="325" spans="1:10" x14ac:dyDescent="0.25">
      <c r="A325" s="12">
        <v>324</v>
      </c>
      <c r="B325" s="12" t="s">
        <v>660</v>
      </c>
      <c r="C325" s="13" t="s">
        <v>661</v>
      </c>
      <c r="D325" s="12" t="s">
        <v>758</v>
      </c>
      <c r="E325" s="13" t="s">
        <v>759</v>
      </c>
      <c r="F325" s="12" t="s">
        <v>768</v>
      </c>
      <c r="G325" s="13" t="s">
        <v>769</v>
      </c>
      <c r="H325" s="9"/>
      <c r="I325" s="10">
        <f>IF(H325="","",H325/5)</f>
      </c>
      <c r="J325" s="11">
        <f>IF(H325="","",VLOOKUP(H325,Escala!$A$2:$C$7,3,FALSE))</f>
      </c>
    </row>
    <row r="326" spans="1:10" x14ac:dyDescent="0.25">
      <c r="A326">
        <v>325</v>
      </c>
      <c r="B326" t="s">
        <v>660</v>
      </c>
      <c r="C326" s="8" t="s">
        <v>661</v>
      </c>
      <c r="D326" t="s">
        <v>758</v>
      </c>
      <c r="E326" s="8" t="s">
        <v>759</v>
      </c>
      <c r="F326" t="s">
        <v>770</v>
      </c>
      <c r="G326" s="8" t="s">
        <v>771</v>
      </c>
      <c r="H326" s="9"/>
      <c r="I326" s="10">
        <f>IF(H326="","",H326/5)</f>
      </c>
      <c r="J326" s="11">
        <f>IF(H326="","",VLOOKUP(H326,Escala!$A$2:$C$7,3,FALSE))</f>
      </c>
    </row>
    <row r="327" spans="1:10" x14ac:dyDescent="0.25">
      <c r="A327" s="12">
        <v>326</v>
      </c>
      <c r="B327" s="12" t="s">
        <v>660</v>
      </c>
      <c r="C327" s="13" t="s">
        <v>661</v>
      </c>
      <c r="D327" s="12" t="s">
        <v>758</v>
      </c>
      <c r="E327" s="13" t="s">
        <v>759</v>
      </c>
      <c r="F327" s="12" t="s">
        <v>772</v>
      </c>
      <c r="G327" s="13" t="s">
        <v>773</v>
      </c>
      <c r="H327" s="9"/>
      <c r="I327" s="10">
        <f>IF(H327="","",H327/5)</f>
      </c>
      <c r="J327" s="11">
        <f>IF(H327="","",VLOOKUP(H327,Escala!$A$2:$C$7,3,FALSE))</f>
      </c>
    </row>
    <row r="328" spans="1:10" x14ac:dyDescent="0.25">
      <c r="A328">
        <v>327</v>
      </c>
      <c r="B328" t="s">
        <v>660</v>
      </c>
      <c r="C328" s="8" t="s">
        <v>661</v>
      </c>
      <c r="D328" t="s">
        <v>758</v>
      </c>
      <c r="E328" s="8" t="s">
        <v>759</v>
      </c>
      <c r="F328" t="s">
        <v>774</v>
      </c>
      <c r="G328" s="8" t="s">
        <v>775</v>
      </c>
      <c r="H328" s="9"/>
      <c r="I328" s="10">
        <f>IF(H328="","",H328/5)</f>
      </c>
      <c r="J328" s="11">
        <f>IF(H328="","",VLOOKUP(H328,Escala!$A$2:$C$7,3,FALSE))</f>
      </c>
    </row>
    <row r="329" spans="1:10" x14ac:dyDescent="0.25">
      <c r="A329" s="12">
        <v>328</v>
      </c>
      <c r="B329" s="12" t="s">
        <v>660</v>
      </c>
      <c r="C329" s="13" t="s">
        <v>661</v>
      </c>
      <c r="D329" s="12" t="s">
        <v>758</v>
      </c>
      <c r="E329" s="13" t="s">
        <v>759</v>
      </c>
      <c r="F329" s="12" t="s">
        <v>776</v>
      </c>
      <c r="G329" s="13" t="s">
        <v>777</v>
      </c>
      <c r="H329" s="9"/>
      <c r="I329" s="10">
        <f>IF(H329="","",H329/5)</f>
      </c>
      <c r="J329" s="11">
        <f>IF(H329="","",VLOOKUP(H329,Escala!$A$2:$C$7,3,FALSE))</f>
      </c>
    </row>
    <row r="330" spans="1:10" x14ac:dyDescent="0.25">
      <c r="A330">
        <v>329</v>
      </c>
      <c r="B330" t="s">
        <v>660</v>
      </c>
      <c r="C330" s="8" t="s">
        <v>661</v>
      </c>
      <c r="D330" t="s">
        <v>758</v>
      </c>
      <c r="E330" s="8" t="s">
        <v>759</v>
      </c>
      <c r="F330" t="s">
        <v>778</v>
      </c>
      <c r="G330" s="8" t="s">
        <v>779</v>
      </c>
      <c r="H330" s="9"/>
      <c r="I330" s="10">
        <f>IF(H330="","",H330/5)</f>
      </c>
      <c r="J330" s="11">
        <f>IF(H330="","",VLOOKUP(H330,Escala!$A$2:$C$7,3,FALSE))</f>
      </c>
    </row>
    <row r="331" spans="1:10" x14ac:dyDescent="0.25">
      <c r="A331" s="12">
        <v>330</v>
      </c>
      <c r="B331" s="12" t="s">
        <v>660</v>
      </c>
      <c r="C331" s="13" t="s">
        <v>661</v>
      </c>
      <c r="D331" s="12" t="s">
        <v>758</v>
      </c>
      <c r="E331" s="13" t="s">
        <v>759</v>
      </c>
      <c r="F331" s="12" t="s">
        <v>780</v>
      </c>
      <c r="G331" s="13" t="s">
        <v>781</v>
      </c>
      <c r="H331" s="9"/>
      <c r="I331" s="10">
        <f>IF(H331="","",H331/5)</f>
      </c>
      <c r="J331" s="11">
        <f>IF(H331="","",VLOOKUP(H331,Escala!$A$2:$C$7,3,FALSE))</f>
      </c>
    </row>
    <row r="332" spans="1:10" x14ac:dyDescent="0.25">
      <c r="A332">
        <v>331</v>
      </c>
      <c r="B332" t="s">
        <v>660</v>
      </c>
      <c r="C332" s="8" t="s">
        <v>661</v>
      </c>
      <c r="D332" t="s">
        <v>758</v>
      </c>
      <c r="E332" s="8" t="s">
        <v>759</v>
      </c>
      <c r="F332" t="s">
        <v>782</v>
      </c>
      <c r="G332" s="8" t="s">
        <v>783</v>
      </c>
      <c r="H332" s="9"/>
      <c r="I332" s="10">
        <f>IF(H332="","",H332/5)</f>
      </c>
      <c r="J332" s="11">
        <f>IF(H332="","",VLOOKUP(H332,Escala!$A$2:$C$7,3,FALSE))</f>
      </c>
    </row>
    <row r="333" spans="1:10" x14ac:dyDescent="0.25">
      <c r="A333" s="12">
        <v>332</v>
      </c>
      <c r="B333" s="12" t="s">
        <v>660</v>
      </c>
      <c r="C333" s="13" t="s">
        <v>661</v>
      </c>
      <c r="D333" s="12" t="s">
        <v>758</v>
      </c>
      <c r="E333" s="13" t="s">
        <v>759</v>
      </c>
      <c r="F333" s="12" t="s">
        <v>784</v>
      </c>
      <c r="G333" s="13" t="s">
        <v>785</v>
      </c>
      <c r="H333" s="9"/>
      <c r="I333" s="10">
        <f>IF(H333="","",H333/5)</f>
      </c>
      <c r="J333" s="11">
        <f>IF(H333="","",VLOOKUP(H333,Escala!$A$2:$C$7,3,FALSE))</f>
      </c>
    </row>
    <row r="334" spans="1:10" x14ac:dyDescent="0.25">
      <c r="A334">
        <v>333</v>
      </c>
      <c r="B334" t="s">
        <v>660</v>
      </c>
      <c r="C334" s="8" t="s">
        <v>661</v>
      </c>
      <c r="D334" t="s">
        <v>758</v>
      </c>
      <c r="E334" s="8" t="s">
        <v>759</v>
      </c>
      <c r="F334" t="s">
        <v>786</v>
      </c>
      <c r="G334" s="8" t="s">
        <v>787</v>
      </c>
      <c r="H334" s="9"/>
      <c r="I334" s="10">
        <f>IF(H334="","",H334/5)</f>
      </c>
      <c r="J334" s="11">
        <f>IF(H334="","",VLOOKUP(H334,Escala!$A$2:$C$7,3,FALSE))</f>
      </c>
    </row>
    <row r="335" spans="1:10" x14ac:dyDescent="0.25">
      <c r="A335" s="12">
        <v>334</v>
      </c>
      <c r="B335" s="12" t="s">
        <v>660</v>
      </c>
      <c r="C335" s="13" t="s">
        <v>661</v>
      </c>
      <c r="D335" s="12" t="s">
        <v>758</v>
      </c>
      <c r="E335" s="13" t="s">
        <v>759</v>
      </c>
      <c r="F335" s="12" t="s">
        <v>788</v>
      </c>
      <c r="G335" s="13" t="s">
        <v>789</v>
      </c>
      <c r="H335" s="9"/>
      <c r="I335" s="10">
        <f>IF(H335="","",H335/5)</f>
      </c>
      <c r="J335" s="11">
        <f>IF(H335="","",VLOOKUP(H335,Escala!$A$2:$C$7,3,FALSE))</f>
      </c>
    </row>
    <row r="336" spans="1:10" x14ac:dyDescent="0.25">
      <c r="A336">
        <v>335</v>
      </c>
      <c r="B336" t="s">
        <v>660</v>
      </c>
      <c r="C336" s="8" t="s">
        <v>661</v>
      </c>
      <c r="D336" t="s">
        <v>758</v>
      </c>
      <c r="E336" s="8" t="s">
        <v>759</v>
      </c>
      <c r="F336" t="s">
        <v>790</v>
      </c>
      <c r="G336" s="8" t="s">
        <v>791</v>
      </c>
      <c r="H336" s="9"/>
      <c r="I336" s="10">
        <f>IF(H336="","",H336/5)</f>
      </c>
      <c r="J336" s="11">
        <f>IF(H336="","",VLOOKUP(H336,Escala!$A$2:$C$7,3,FALSE))</f>
      </c>
    </row>
    <row r="337" spans="1:10" x14ac:dyDescent="0.25">
      <c r="A337" s="12">
        <v>336</v>
      </c>
      <c r="B337" s="12" t="s">
        <v>660</v>
      </c>
      <c r="C337" s="13" t="s">
        <v>661</v>
      </c>
      <c r="D337" s="12" t="s">
        <v>758</v>
      </c>
      <c r="E337" s="13" t="s">
        <v>759</v>
      </c>
      <c r="F337" s="12" t="s">
        <v>792</v>
      </c>
      <c r="G337" s="13" t="s">
        <v>793</v>
      </c>
      <c r="H337" s="9"/>
      <c r="I337" s="10">
        <f>IF(H337="","",H337/5)</f>
      </c>
      <c r="J337" s="11">
        <f>IF(H337="","",VLOOKUP(H337,Escala!$A$2:$C$7,3,FALSE))</f>
      </c>
    </row>
    <row r="338" spans="1:10" x14ac:dyDescent="0.25">
      <c r="A338">
        <v>337</v>
      </c>
      <c r="B338" t="s">
        <v>660</v>
      </c>
      <c r="C338" s="8" t="s">
        <v>661</v>
      </c>
      <c r="D338" t="s">
        <v>794</v>
      </c>
      <c r="E338" s="8" t="s">
        <v>795</v>
      </c>
      <c r="F338" t="s">
        <v>796</v>
      </c>
      <c r="G338" s="8" t="s">
        <v>797</v>
      </c>
      <c r="H338" s="9"/>
      <c r="I338" s="10">
        <f>IF(H338="","",H338/5)</f>
      </c>
      <c r="J338" s="11">
        <f>IF(H338="","",VLOOKUP(H338,Escala!$A$2:$C$7,3,FALSE))</f>
      </c>
    </row>
    <row r="339" spans="1:10" x14ac:dyDescent="0.25">
      <c r="A339" s="12">
        <v>338</v>
      </c>
      <c r="B339" s="12" t="s">
        <v>660</v>
      </c>
      <c r="C339" s="13" t="s">
        <v>661</v>
      </c>
      <c r="D339" s="12" t="s">
        <v>794</v>
      </c>
      <c r="E339" s="13" t="s">
        <v>795</v>
      </c>
      <c r="F339" s="12" t="s">
        <v>798</v>
      </c>
      <c r="G339" s="13" t="s">
        <v>799</v>
      </c>
      <c r="H339" s="9"/>
      <c r="I339" s="10">
        <f>IF(H339="","",H339/5)</f>
      </c>
      <c r="J339" s="11">
        <f>IF(H339="","",VLOOKUP(H339,Escala!$A$2:$C$7,3,FALSE))</f>
      </c>
    </row>
    <row r="340" spans="1:10" x14ac:dyDescent="0.25">
      <c r="A340">
        <v>339</v>
      </c>
      <c r="B340" t="s">
        <v>660</v>
      </c>
      <c r="C340" s="8" t="s">
        <v>661</v>
      </c>
      <c r="D340" t="s">
        <v>794</v>
      </c>
      <c r="E340" s="8" t="s">
        <v>795</v>
      </c>
      <c r="F340" t="s">
        <v>800</v>
      </c>
      <c r="G340" s="8" t="s">
        <v>801</v>
      </c>
      <c r="H340" s="9"/>
      <c r="I340" s="10">
        <f>IF(H340="","",H340/5)</f>
      </c>
      <c r="J340" s="11">
        <f>IF(H340="","",VLOOKUP(H340,Escala!$A$2:$C$7,3,FALSE))</f>
      </c>
    </row>
    <row r="341" spans="1:10" x14ac:dyDescent="0.25">
      <c r="A341" s="12">
        <v>340</v>
      </c>
      <c r="B341" s="12" t="s">
        <v>660</v>
      </c>
      <c r="C341" s="13" t="s">
        <v>661</v>
      </c>
      <c r="D341" s="12" t="s">
        <v>794</v>
      </c>
      <c r="E341" s="13" t="s">
        <v>795</v>
      </c>
      <c r="F341" s="12" t="s">
        <v>802</v>
      </c>
      <c r="G341" s="13" t="s">
        <v>803</v>
      </c>
      <c r="H341" s="9"/>
      <c r="I341" s="10">
        <f>IF(H341="","",H341/5)</f>
      </c>
      <c r="J341" s="11">
        <f>IF(H341="","",VLOOKUP(H341,Escala!$A$2:$C$7,3,FALSE))</f>
      </c>
    </row>
    <row r="342" spans="1:10" x14ac:dyDescent="0.25">
      <c r="A342">
        <v>341</v>
      </c>
      <c r="B342" t="s">
        <v>660</v>
      </c>
      <c r="C342" s="8" t="s">
        <v>661</v>
      </c>
      <c r="D342" t="s">
        <v>794</v>
      </c>
      <c r="E342" s="8" t="s">
        <v>795</v>
      </c>
      <c r="F342" t="s">
        <v>804</v>
      </c>
      <c r="G342" s="8" t="s">
        <v>805</v>
      </c>
      <c r="H342" s="9"/>
      <c r="I342" s="10">
        <f>IF(H342="","",H342/5)</f>
      </c>
      <c r="J342" s="11">
        <f>IF(H342="","",VLOOKUP(H342,Escala!$A$2:$C$7,3,FALSE))</f>
      </c>
    </row>
    <row r="343" spans="1:10" x14ac:dyDescent="0.25">
      <c r="A343" s="12">
        <v>342</v>
      </c>
      <c r="B343" s="12" t="s">
        <v>660</v>
      </c>
      <c r="C343" s="13" t="s">
        <v>661</v>
      </c>
      <c r="D343" s="12" t="s">
        <v>794</v>
      </c>
      <c r="E343" s="13" t="s">
        <v>795</v>
      </c>
      <c r="F343" s="12" t="s">
        <v>806</v>
      </c>
      <c r="G343" s="13" t="s">
        <v>807</v>
      </c>
      <c r="H343" s="9"/>
      <c r="I343" s="10">
        <f>IF(H343="","",H343/5)</f>
      </c>
      <c r="J343" s="11">
        <f>IF(H343="","",VLOOKUP(H343,Escala!$A$2:$C$7,3,FALSE))</f>
      </c>
    </row>
    <row r="344" spans="1:10" x14ac:dyDescent="0.25">
      <c r="A344">
        <v>343</v>
      </c>
      <c r="B344" t="s">
        <v>660</v>
      </c>
      <c r="C344" s="8" t="s">
        <v>661</v>
      </c>
      <c r="D344" t="s">
        <v>794</v>
      </c>
      <c r="E344" s="8" t="s">
        <v>795</v>
      </c>
      <c r="F344" t="s">
        <v>808</v>
      </c>
      <c r="G344" s="8" t="s">
        <v>809</v>
      </c>
      <c r="H344" s="9"/>
      <c r="I344" s="10">
        <f>IF(H344="","",H344/5)</f>
      </c>
      <c r="J344" s="11">
        <f>IF(H344="","",VLOOKUP(H344,Escala!$A$2:$C$7,3,FALSE))</f>
      </c>
    </row>
    <row r="345" spans="1:10" x14ac:dyDescent="0.25">
      <c r="A345" s="12">
        <v>344</v>
      </c>
      <c r="B345" s="12" t="s">
        <v>660</v>
      </c>
      <c r="C345" s="13" t="s">
        <v>661</v>
      </c>
      <c r="D345" s="12" t="s">
        <v>794</v>
      </c>
      <c r="E345" s="13" t="s">
        <v>795</v>
      </c>
      <c r="F345" s="12" t="s">
        <v>810</v>
      </c>
      <c r="G345" s="13" t="s">
        <v>811</v>
      </c>
      <c r="H345" s="9"/>
      <c r="I345" s="10">
        <f>IF(H345="","",H345/5)</f>
      </c>
      <c r="J345" s="11">
        <f>IF(H345="","",VLOOKUP(H345,Escala!$A$2:$C$7,3,FALSE))</f>
      </c>
    </row>
    <row r="346" spans="1:10" x14ac:dyDescent="0.25">
      <c r="A346">
        <v>345</v>
      </c>
      <c r="B346" t="s">
        <v>660</v>
      </c>
      <c r="C346" s="8" t="s">
        <v>661</v>
      </c>
      <c r="D346" t="s">
        <v>794</v>
      </c>
      <c r="E346" s="8" t="s">
        <v>795</v>
      </c>
      <c r="F346" t="s">
        <v>812</v>
      </c>
      <c r="G346" s="8" t="s">
        <v>813</v>
      </c>
      <c r="H346" s="9"/>
      <c r="I346" s="10">
        <f>IF(H346="","",H346/5)</f>
      </c>
      <c r="J346" s="11">
        <f>IF(H346="","",VLOOKUP(H346,Escala!$A$2:$C$7,3,FALSE))</f>
      </c>
    </row>
    <row r="347" spans="1:10" x14ac:dyDescent="0.25">
      <c r="A347" s="12">
        <v>346</v>
      </c>
      <c r="B347" s="12" t="s">
        <v>660</v>
      </c>
      <c r="C347" s="13" t="s">
        <v>661</v>
      </c>
      <c r="D347" s="12" t="s">
        <v>794</v>
      </c>
      <c r="E347" s="13" t="s">
        <v>795</v>
      </c>
      <c r="F347" s="12" t="s">
        <v>814</v>
      </c>
      <c r="G347" s="13" t="s">
        <v>815</v>
      </c>
      <c r="H347" s="9"/>
      <c r="I347" s="10">
        <f>IF(H347="","",H347/5)</f>
      </c>
      <c r="J347" s="11">
        <f>IF(H347="","",VLOOKUP(H347,Escala!$A$2:$C$7,3,FALSE))</f>
      </c>
    </row>
    <row r="348" spans="1:10" x14ac:dyDescent="0.25">
      <c r="A348">
        <v>347</v>
      </c>
      <c r="B348" t="s">
        <v>660</v>
      </c>
      <c r="C348" s="8" t="s">
        <v>661</v>
      </c>
      <c r="D348" t="s">
        <v>794</v>
      </c>
      <c r="E348" s="8" t="s">
        <v>795</v>
      </c>
      <c r="F348" t="s">
        <v>816</v>
      </c>
      <c r="G348" s="8" t="s">
        <v>817</v>
      </c>
      <c r="H348" s="9"/>
      <c r="I348" s="10">
        <f>IF(H348="","",H348/5)</f>
      </c>
      <c r="J348" s="11">
        <f>IF(H348="","",VLOOKUP(H348,Escala!$A$2:$C$7,3,FALSE))</f>
      </c>
    </row>
    <row r="349" spans="1:10" x14ac:dyDescent="0.25">
      <c r="A349" s="12">
        <v>348</v>
      </c>
      <c r="B349" s="12" t="s">
        <v>660</v>
      </c>
      <c r="C349" s="13" t="s">
        <v>661</v>
      </c>
      <c r="D349" s="12" t="s">
        <v>794</v>
      </c>
      <c r="E349" s="13" t="s">
        <v>795</v>
      </c>
      <c r="F349" s="12" t="s">
        <v>818</v>
      </c>
      <c r="G349" s="13" t="s">
        <v>819</v>
      </c>
      <c r="H349" s="9"/>
      <c r="I349" s="10">
        <f>IF(H349="","",H349/5)</f>
      </c>
      <c r="J349" s="11">
        <f>IF(H349="","",VLOOKUP(H349,Escala!$A$2:$C$7,3,FALSE))</f>
      </c>
    </row>
    <row r="350" spans="1:10" x14ac:dyDescent="0.25">
      <c r="A350">
        <v>349</v>
      </c>
      <c r="B350" t="s">
        <v>660</v>
      </c>
      <c r="C350" s="8" t="s">
        <v>661</v>
      </c>
      <c r="D350" t="s">
        <v>794</v>
      </c>
      <c r="E350" s="8" t="s">
        <v>795</v>
      </c>
      <c r="F350" t="s">
        <v>820</v>
      </c>
      <c r="G350" s="8" t="s">
        <v>821</v>
      </c>
      <c r="H350" s="9"/>
      <c r="I350" s="10">
        <f>IF(H350="","",H350/5)</f>
      </c>
      <c r="J350" s="11">
        <f>IF(H350="","",VLOOKUP(H350,Escala!$A$2:$C$7,3,FALSE))</f>
      </c>
    </row>
    <row r="351" spans="1:10" x14ac:dyDescent="0.25">
      <c r="A351" s="12">
        <v>350</v>
      </c>
      <c r="B351" s="12" t="s">
        <v>660</v>
      </c>
      <c r="C351" s="13" t="s">
        <v>661</v>
      </c>
      <c r="D351" s="12" t="s">
        <v>794</v>
      </c>
      <c r="E351" s="13" t="s">
        <v>795</v>
      </c>
      <c r="F351" s="12" t="s">
        <v>822</v>
      </c>
      <c r="G351" s="13" t="s">
        <v>823</v>
      </c>
      <c r="H351" s="9"/>
      <c r="I351" s="10">
        <f>IF(H351="","",H351/5)</f>
      </c>
      <c r="J351" s="11">
        <f>IF(H351="","",VLOOKUP(H351,Escala!$A$2:$C$7,3,FALSE))</f>
      </c>
    </row>
    <row r="352" spans="1:10" x14ac:dyDescent="0.25">
      <c r="A352">
        <v>351</v>
      </c>
      <c r="B352" t="s">
        <v>660</v>
      </c>
      <c r="C352" s="8" t="s">
        <v>661</v>
      </c>
      <c r="D352" t="s">
        <v>794</v>
      </c>
      <c r="E352" s="8" t="s">
        <v>795</v>
      </c>
      <c r="F352" t="s">
        <v>824</v>
      </c>
      <c r="G352" s="8" t="s">
        <v>825</v>
      </c>
      <c r="H352" s="9"/>
      <c r="I352" s="10">
        <f>IF(H352="","",H352/5)</f>
      </c>
      <c r="J352" s="11">
        <f>IF(H352="","",VLOOKUP(H352,Escala!$A$2:$C$7,3,FALSE))</f>
      </c>
    </row>
    <row r="353" spans="1:10" x14ac:dyDescent="0.25">
      <c r="A353" s="12">
        <v>352</v>
      </c>
      <c r="B353" s="12" t="s">
        <v>660</v>
      </c>
      <c r="C353" s="13" t="s">
        <v>661</v>
      </c>
      <c r="D353" s="12" t="s">
        <v>794</v>
      </c>
      <c r="E353" s="13" t="s">
        <v>795</v>
      </c>
      <c r="F353" s="12" t="s">
        <v>826</v>
      </c>
      <c r="G353" s="13" t="s">
        <v>827</v>
      </c>
      <c r="H353" s="9"/>
      <c r="I353" s="10">
        <f>IF(H353="","",H353/5)</f>
      </c>
      <c r="J353" s="11">
        <f>IF(H353="","",VLOOKUP(H353,Escala!$A$2:$C$7,3,FALSE))</f>
      </c>
    </row>
    <row r="354" spans="1:10" x14ac:dyDescent="0.25">
      <c r="A354">
        <v>353</v>
      </c>
      <c r="B354" t="s">
        <v>660</v>
      </c>
      <c r="C354" s="8" t="s">
        <v>661</v>
      </c>
      <c r="D354" t="s">
        <v>794</v>
      </c>
      <c r="E354" s="8" t="s">
        <v>795</v>
      </c>
      <c r="F354" t="s">
        <v>828</v>
      </c>
      <c r="G354" s="8" t="s">
        <v>829</v>
      </c>
      <c r="H354" s="9"/>
      <c r="I354" s="10">
        <f>IF(H354="","",H354/5)</f>
      </c>
      <c r="J354" s="11">
        <f>IF(H354="","",VLOOKUP(H354,Escala!$A$2:$C$7,3,FALSE))</f>
      </c>
    </row>
    <row r="355" spans="1:10" x14ac:dyDescent="0.25">
      <c r="A355" s="12">
        <v>354</v>
      </c>
      <c r="B355" s="12" t="s">
        <v>660</v>
      </c>
      <c r="C355" s="13" t="s">
        <v>661</v>
      </c>
      <c r="D355" s="12" t="s">
        <v>794</v>
      </c>
      <c r="E355" s="13" t="s">
        <v>795</v>
      </c>
      <c r="F355" s="12" t="s">
        <v>830</v>
      </c>
      <c r="G355" s="13" t="s">
        <v>831</v>
      </c>
      <c r="H355" s="9"/>
      <c r="I355" s="10">
        <f>IF(H355="","",H355/5)</f>
      </c>
      <c r="J355" s="11">
        <f>IF(H355="","",VLOOKUP(H355,Escala!$A$2:$C$7,3,FALSE))</f>
      </c>
    </row>
    <row r="356" spans="1:10" x14ac:dyDescent="0.25">
      <c r="A356">
        <v>355</v>
      </c>
      <c r="B356" t="s">
        <v>660</v>
      </c>
      <c r="C356" s="8" t="s">
        <v>661</v>
      </c>
      <c r="D356" t="s">
        <v>794</v>
      </c>
      <c r="E356" s="8" t="s">
        <v>795</v>
      </c>
      <c r="F356" t="s">
        <v>832</v>
      </c>
      <c r="G356" s="8" t="s">
        <v>833</v>
      </c>
      <c r="H356" s="9"/>
      <c r="I356" s="10">
        <f>IF(H356="","",H356/5)</f>
      </c>
      <c r="J356" s="11">
        <f>IF(H356="","",VLOOKUP(H356,Escala!$A$2:$C$7,3,FALSE))</f>
      </c>
    </row>
    <row r="357" spans="1:10" x14ac:dyDescent="0.25">
      <c r="A357" s="12">
        <v>356</v>
      </c>
      <c r="B357" s="12" t="s">
        <v>660</v>
      </c>
      <c r="C357" s="13" t="s">
        <v>661</v>
      </c>
      <c r="D357" s="12" t="s">
        <v>794</v>
      </c>
      <c r="E357" s="13" t="s">
        <v>795</v>
      </c>
      <c r="F357" s="12" t="s">
        <v>834</v>
      </c>
      <c r="G357" s="13" t="s">
        <v>835</v>
      </c>
      <c r="H357" s="9"/>
      <c r="I357" s="10">
        <f>IF(H357="","",H357/5)</f>
      </c>
      <c r="J357" s="11">
        <f>IF(H357="","",VLOOKUP(H357,Escala!$A$2:$C$7,3,FALSE))</f>
      </c>
    </row>
    <row r="358" spans="1:10" x14ac:dyDescent="0.25">
      <c r="A358">
        <v>357</v>
      </c>
      <c r="B358" t="s">
        <v>660</v>
      </c>
      <c r="C358" s="8" t="s">
        <v>661</v>
      </c>
      <c r="D358" t="s">
        <v>794</v>
      </c>
      <c r="E358" s="8" t="s">
        <v>795</v>
      </c>
      <c r="F358" t="s">
        <v>836</v>
      </c>
      <c r="G358" s="8" t="s">
        <v>837</v>
      </c>
      <c r="H358" s="9"/>
      <c r="I358" s="10">
        <f>IF(H358="","",H358/5)</f>
      </c>
      <c r="J358" s="11">
        <f>IF(H358="","",VLOOKUP(H358,Escala!$A$2:$C$7,3,FALSE))</f>
      </c>
    </row>
    <row r="359" spans="1:10" x14ac:dyDescent="0.25">
      <c r="A359" s="12">
        <v>358</v>
      </c>
      <c r="B359" s="12" t="s">
        <v>838</v>
      </c>
      <c r="C359" s="13" t="s">
        <v>839</v>
      </c>
      <c r="D359" s="12" t="s">
        <v>840</v>
      </c>
      <c r="E359" s="13" t="s">
        <v>841</v>
      </c>
      <c r="F359" s="12" t="s">
        <v>842</v>
      </c>
      <c r="G359" s="13" t="s">
        <v>843</v>
      </c>
      <c r="H359" s="9"/>
      <c r="I359" s="10">
        <f>IF(H359="","",H359/5)</f>
      </c>
      <c r="J359" s="11">
        <f>IF(H359="","",VLOOKUP(H359,Escala!$A$2:$C$7,3,FALSE))</f>
      </c>
    </row>
    <row r="360" spans="1:10" x14ac:dyDescent="0.25">
      <c r="A360">
        <v>359</v>
      </c>
      <c r="B360" t="s">
        <v>838</v>
      </c>
      <c r="C360" s="8" t="s">
        <v>839</v>
      </c>
      <c r="D360" t="s">
        <v>840</v>
      </c>
      <c r="E360" s="8" t="s">
        <v>841</v>
      </c>
      <c r="F360" t="s">
        <v>844</v>
      </c>
      <c r="G360" s="8" t="s">
        <v>845</v>
      </c>
      <c r="H360" s="9"/>
      <c r="I360" s="10">
        <f>IF(H360="","",H360/5)</f>
      </c>
      <c r="J360" s="11">
        <f>IF(H360="","",VLOOKUP(H360,Escala!$A$2:$C$7,3,FALSE))</f>
      </c>
    </row>
    <row r="361" spans="1:10" x14ac:dyDescent="0.25">
      <c r="A361" s="12">
        <v>360</v>
      </c>
      <c r="B361" s="12" t="s">
        <v>838</v>
      </c>
      <c r="C361" s="13" t="s">
        <v>839</v>
      </c>
      <c r="D361" s="12" t="s">
        <v>840</v>
      </c>
      <c r="E361" s="13" t="s">
        <v>841</v>
      </c>
      <c r="F361" s="12" t="s">
        <v>846</v>
      </c>
      <c r="G361" s="13" t="s">
        <v>847</v>
      </c>
      <c r="H361" s="9"/>
      <c r="I361" s="10">
        <f>IF(H361="","",H361/5)</f>
      </c>
      <c r="J361" s="11">
        <f>IF(H361="","",VLOOKUP(H361,Escala!$A$2:$C$7,3,FALSE))</f>
      </c>
    </row>
    <row r="362" spans="1:10" x14ac:dyDescent="0.25">
      <c r="A362">
        <v>361</v>
      </c>
      <c r="B362" t="s">
        <v>838</v>
      </c>
      <c r="C362" s="8" t="s">
        <v>839</v>
      </c>
      <c r="D362" t="s">
        <v>840</v>
      </c>
      <c r="E362" s="8" t="s">
        <v>841</v>
      </c>
      <c r="F362" t="s">
        <v>848</v>
      </c>
      <c r="G362" s="8" t="s">
        <v>849</v>
      </c>
      <c r="H362" s="9"/>
      <c r="I362" s="10">
        <f>IF(H362="","",H362/5)</f>
      </c>
      <c r="J362" s="11">
        <f>IF(H362="","",VLOOKUP(H362,Escala!$A$2:$C$7,3,FALSE))</f>
      </c>
    </row>
    <row r="363" spans="1:10" x14ac:dyDescent="0.25">
      <c r="A363" s="12">
        <v>362</v>
      </c>
      <c r="B363" s="12" t="s">
        <v>838</v>
      </c>
      <c r="C363" s="13" t="s">
        <v>839</v>
      </c>
      <c r="D363" s="12" t="s">
        <v>840</v>
      </c>
      <c r="E363" s="13" t="s">
        <v>841</v>
      </c>
      <c r="F363" s="12" t="s">
        <v>850</v>
      </c>
      <c r="G363" s="13" t="s">
        <v>851</v>
      </c>
      <c r="H363" s="9"/>
      <c r="I363" s="10">
        <f>IF(H363="","",H363/5)</f>
      </c>
      <c r="J363" s="11">
        <f>IF(H363="","",VLOOKUP(H363,Escala!$A$2:$C$7,3,FALSE))</f>
      </c>
    </row>
    <row r="364" spans="1:10" x14ac:dyDescent="0.25">
      <c r="A364">
        <v>363</v>
      </c>
      <c r="B364" t="s">
        <v>838</v>
      </c>
      <c r="C364" s="8" t="s">
        <v>839</v>
      </c>
      <c r="D364" t="s">
        <v>840</v>
      </c>
      <c r="E364" s="8" t="s">
        <v>841</v>
      </c>
      <c r="F364" t="s">
        <v>852</v>
      </c>
      <c r="G364" s="8" t="s">
        <v>853</v>
      </c>
      <c r="H364" s="9"/>
      <c r="I364" s="10">
        <f>IF(H364="","",H364/5)</f>
      </c>
      <c r="J364" s="11">
        <f>IF(H364="","",VLOOKUP(H364,Escala!$A$2:$C$7,3,FALSE))</f>
      </c>
    </row>
    <row r="365" spans="1:10" x14ac:dyDescent="0.25">
      <c r="A365" s="12">
        <v>364</v>
      </c>
      <c r="B365" s="12" t="s">
        <v>838</v>
      </c>
      <c r="C365" s="13" t="s">
        <v>839</v>
      </c>
      <c r="D365" s="12" t="s">
        <v>840</v>
      </c>
      <c r="E365" s="13" t="s">
        <v>841</v>
      </c>
      <c r="F365" s="12" t="s">
        <v>854</v>
      </c>
      <c r="G365" s="13" t="s">
        <v>855</v>
      </c>
      <c r="H365" s="9"/>
      <c r="I365" s="10">
        <f>IF(H365="","",H365/5)</f>
      </c>
      <c r="J365" s="11">
        <f>IF(H365="","",VLOOKUP(H365,Escala!$A$2:$C$7,3,FALSE))</f>
      </c>
    </row>
    <row r="366" spans="1:10" x14ac:dyDescent="0.25">
      <c r="A366">
        <v>365</v>
      </c>
      <c r="B366" t="s">
        <v>838</v>
      </c>
      <c r="C366" s="8" t="s">
        <v>839</v>
      </c>
      <c r="D366" t="s">
        <v>840</v>
      </c>
      <c r="E366" s="8" t="s">
        <v>841</v>
      </c>
      <c r="F366" t="s">
        <v>856</v>
      </c>
      <c r="G366" s="8" t="s">
        <v>857</v>
      </c>
      <c r="H366" s="9"/>
      <c r="I366" s="10">
        <f>IF(H366="","",H366/5)</f>
      </c>
      <c r="J366" s="11">
        <f>IF(H366="","",VLOOKUP(H366,Escala!$A$2:$C$7,3,FALSE))</f>
      </c>
    </row>
    <row r="367" spans="1:10" x14ac:dyDescent="0.25">
      <c r="A367" s="12">
        <v>366</v>
      </c>
      <c r="B367" s="12" t="s">
        <v>838</v>
      </c>
      <c r="C367" s="13" t="s">
        <v>839</v>
      </c>
      <c r="D367" s="12" t="s">
        <v>858</v>
      </c>
      <c r="E367" s="13" t="s">
        <v>859</v>
      </c>
      <c r="F367" s="12" t="s">
        <v>860</v>
      </c>
      <c r="G367" s="13" t="s">
        <v>861</v>
      </c>
      <c r="H367" s="9"/>
      <c r="I367" s="10">
        <f>IF(H367="","",H367/5)</f>
      </c>
      <c r="J367" s="11">
        <f>IF(H367="","",VLOOKUP(H367,Escala!$A$2:$C$7,3,FALSE))</f>
      </c>
    </row>
    <row r="368" spans="1:10" x14ac:dyDescent="0.25">
      <c r="A368">
        <v>367</v>
      </c>
      <c r="B368" t="s">
        <v>838</v>
      </c>
      <c r="C368" s="8" t="s">
        <v>839</v>
      </c>
      <c r="D368" t="s">
        <v>858</v>
      </c>
      <c r="E368" s="8" t="s">
        <v>859</v>
      </c>
      <c r="F368" t="s">
        <v>862</v>
      </c>
      <c r="G368" s="8" t="s">
        <v>863</v>
      </c>
      <c r="H368" s="9"/>
      <c r="I368" s="10">
        <f>IF(H368="","",H368/5)</f>
      </c>
      <c r="J368" s="11">
        <f>IF(H368="","",VLOOKUP(H368,Escala!$A$2:$C$7,3,FALSE))</f>
      </c>
    </row>
    <row r="369" spans="1:10" x14ac:dyDescent="0.25">
      <c r="A369" s="12">
        <v>368</v>
      </c>
      <c r="B369" s="12" t="s">
        <v>838</v>
      </c>
      <c r="C369" s="13" t="s">
        <v>839</v>
      </c>
      <c r="D369" s="12" t="s">
        <v>858</v>
      </c>
      <c r="E369" s="13" t="s">
        <v>859</v>
      </c>
      <c r="F369" s="12" t="s">
        <v>864</v>
      </c>
      <c r="G369" s="13" t="s">
        <v>865</v>
      </c>
      <c r="H369" s="9"/>
      <c r="I369" s="10">
        <f>IF(H369="","",H369/5)</f>
      </c>
      <c r="J369" s="11">
        <f>IF(H369="","",VLOOKUP(H369,Escala!$A$2:$C$7,3,FALSE))</f>
      </c>
    </row>
    <row r="370" spans="1:10" x14ac:dyDescent="0.25">
      <c r="A370">
        <v>369</v>
      </c>
      <c r="B370" t="s">
        <v>838</v>
      </c>
      <c r="C370" s="8" t="s">
        <v>839</v>
      </c>
      <c r="D370" t="s">
        <v>858</v>
      </c>
      <c r="E370" s="8" t="s">
        <v>859</v>
      </c>
      <c r="F370" t="s">
        <v>866</v>
      </c>
      <c r="G370" s="8" t="s">
        <v>867</v>
      </c>
      <c r="H370" s="9"/>
      <c r="I370" s="10">
        <f>IF(H370="","",H370/5)</f>
      </c>
      <c r="J370" s="11">
        <f>IF(H370="","",VLOOKUP(H370,Escala!$A$2:$C$7,3,FALSE))</f>
      </c>
    </row>
    <row r="371" spans="1:10" x14ac:dyDescent="0.25">
      <c r="A371" s="12">
        <v>370</v>
      </c>
      <c r="B371" s="12" t="s">
        <v>838</v>
      </c>
      <c r="C371" s="13" t="s">
        <v>839</v>
      </c>
      <c r="D371" s="12" t="s">
        <v>858</v>
      </c>
      <c r="E371" s="13" t="s">
        <v>859</v>
      </c>
      <c r="F371" s="12" t="s">
        <v>868</v>
      </c>
      <c r="G371" s="13" t="s">
        <v>869</v>
      </c>
      <c r="H371" s="9"/>
      <c r="I371" s="10">
        <f>IF(H371="","",H371/5)</f>
      </c>
      <c r="J371" s="11">
        <f>IF(H371="","",VLOOKUP(H371,Escala!$A$2:$C$7,3,FALSE))</f>
      </c>
    </row>
    <row r="372" spans="1:10" x14ac:dyDescent="0.25">
      <c r="A372">
        <v>371</v>
      </c>
      <c r="B372" t="s">
        <v>838</v>
      </c>
      <c r="C372" s="8" t="s">
        <v>839</v>
      </c>
      <c r="D372" t="s">
        <v>858</v>
      </c>
      <c r="E372" s="8" t="s">
        <v>859</v>
      </c>
      <c r="F372" t="s">
        <v>870</v>
      </c>
      <c r="G372" s="8" t="s">
        <v>871</v>
      </c>
      <c r="H372" s="9"/>
      <c r="I372" s="10">
        <f>IF(H372="","",H372/5)</f>
      </c>
      <c r="J372" s="11">
        <f>IF(H372="","",VLOOKUP(H372,Escala!$A$2:$C$7,3,FALSE))</f>
      </c>
    </row>
    <row r="373" spans="1:10" x14ac:dyDescent="0.25">
      <c r="A373" s="12">
        <v>372</v>
      </c>
      <c r="B373" s="12" t="s">
        <v>838</v>
      </c>
      <c r="C373" s="13" t="s">
        <v>839</v>
      </c>
      <c r="D373" s="12" t="s">
        <v>872</v>
      </c>
      <c r="E373" s="13" t="s">
        <v>873</v>
      </c>
      <c r="F373" s="12" t="s">
        <v>874</v>
      </c>
      <c r="G373" s="13" t="s">
        <v>875</v>
      </c>
      <c r="H373" s="9"/>
      <c r="I373" s="10">
        <f>IF(H373="","",H373/5)</f>
      </c>
      <c r="J373" s="11">
        <f>IF(H373="","",VLOOKUP(H373,Escala!$A$2:$C$7,3,FALSE))</f>
      </c>
    </row>
    <row r="374" spans="1:10" x14ac:dyDescent="0.25">
      <c r="A374">
        <v>373</v>
      </c>
      <c r="B374" t="s">
        <v>838</v>
      </c>
      <c r="C374" s="8" t="s">
        <v>839</v>
      </c>
      <c r="D374" t="s">
        <v>872</v>
      </c>
      <c r="E374" s="8" t="s">
        <v>873</v>
      </c>
      <c r="F374" t="s">
        <v>876</v>
      </c>
      <c r="G374" s="8" t="s">
        <v>877</v>
      </c>
      <c r="H374" s="9"/>
      <c r="I374" s="10">
        <f>IF(H374="","",H374/5)</f>
      </c>
      <c r="J374" s="11">
        <f>IF(H374="","",VLOOKUP(H374,Escala!$A$2:$C$7,3,FALSE))</f>
      </c>
    </row>
    <row r="375" spans="1:10" x14ac:dyDescent="0.25">
      <c r="A375" s="12">
        <v>374</v>
      </c>
      <c r="B375" s="12" t="s">
        <v>838</v>
      </c>
      <c r="C375" s="13" t="s">
        <v>839</v>
      </c>
      <c r="D375" s="12" t="s">
        <v>872</v>
      </c>
      <c r="E375" s="13" t="s">
        <v>873</v>
      </c>
      <c r="F375" s="12" t="s">
        <v>878</v>
      </c>
      <c r="G375" s="13" t="s">
        <v>879</v>
      </c>
      <c r="H375" s="9"/>
      <c r="I375" s="10">
        <f>IF(H375="","",H375/5)</f>
      </c>
      <c r="J375" s="11">
        <f>IF(H375="","",VLOOKUP(H375,Escala!$A$2:$C$7,3,FALSE))</f>
      </c>
    </row>
    <row r="376" spans="1:10" x14ac:dyDescent="0.25">
      <c r="A376">
        <v>375</v>
      </c>
      <c r="B376" t="s">
        <v>838</v>
      </c>
      <c r="C376" s="8" t="s">
        <v>839</v>
      </c>
      <c r="D376" t="s">
        <v>872</v>
      </c>
      <c r="E376" s="8" t="s">
        <v>873</v>
      </c>
      <c r="F376" t="s">
        <v>880</v>
      </c>
      <c r="G376" s="8" t="s">
        <v>881</v>
      </c>
      <c r="H376" s="9"/>
      <c r="I376" s="10">
        <f>IF(H376="","",H376/5)</f>
      </c>
      <c r="J376" s="11">
        <f>IF(H376="","",VLOOKUP(H376,Escala!$A$2:$C$7,3,FALSE))</f>
      </c>
    </row>
    <row r="377" spans="1:10" x14ac:dyDescent="0.25">
      <c r="A377" s="12">
        <v>376</v>
      </c>
      <c r="B377" s="12" t="s">
        <v>838</v>
      </c>
      <c r="C377" s="13" t="s">
        <v>839</v>
      </c>
      <c r="D377" s="12" t="s">
        <v>872</v>
      </c>
      <c r="E377" s="13" t="s">
        <v>873</v>
      </c>
      <c r="F377" s="12" t="s">
        <v>882</v>
      </c>
      <c r="G377" s="13" t="s">
        <v>883</v>
      </c>
      <c r="H377" s="9"/>
      <c r="I377" s="10">
        <f>IF(H377="","",H377/5)</f>
      </c>
      <c r="J377" s="11">
        <f>IF(H377="","",VLOOKUP(H377,Escala!$A$2:$C$7,3,FALSE))</f>
      </c>
    </row>
    <row r="378" spans="1:10" x14ac:dyDescent="0.25">
      <c r="A378">
        <v>377</v>
      </c>
      <c r="B378" t="s">
        <v>838</v>
      </c>
      <c r="C378" s="8" t="s">
        <v>839</v>
      </c>
      <c r="D378" t="s">
        <v>872</v>
      </c>
      <c r="E378" s="8" t="s">
        <v>873</v>
      </c>
      <c r="F378" t="s">
        <v>884</v>
      </c>
      <c r="G378" s="8" t="s">
        <v>885</v>
      </c>
      <c r="H378" s="9"/>
      <c r="I378" s="10">
        <f>IF(H378="","",H378/5)</f>
      </c>
      <c r="J378" s="11">
        <f>IF(H378="","",VLOOKUP(H378,Escala!$A$2:$C$7,3,FALSE))</f>
      </c>
    </row>
    <row r="379" spans="1:10" x14ac:dyDescent="0.25">
      <c r="A379" s="12">
        <v>378</v>
      </c>
      <c r="B379" s="12" t="s">
        <v>838</v>
      </c>
      <c r="C379" s="13" t="s">
        <v>839</v>
      </c>
      <c r="D379" s="12" t="s">
        <v>872</v>
      </c>
      <c r="E379" s="13" t="s">
        <v>873</v>
      </c>
      <c r="F379" s="12" t="s">
        <v>886</v>
      </c>
      <c r="G379" s="13" t="s">
        <v>887</v>
      </c>
      <c r="H379" s="9"/>
      <c r="I379" s="10">
        <f>IF(H379="","",H379/5)</f>
      </c>
      <c r="J379" s="11">
        <f>IF(H379="","",VLOOKUP(H379,Escala!$A$2:$C$7,3,FALSE))</f>
      </c>
    </row>
    <row r="380" spans="1:10" x14ac:dyDescent="0.25">
      <c r="A380">
        <v>379</v>
      </c>
      <c r="B380" t="s">
        <v>838</v>
      </c>
      <c r="C380" s="8" t="s">
        <v>839</v>
      </c>
      <c r="D380" t="s">
        <v>872</v>
      </c>
      <c r="E380" s="8" t="s">
        <v>873</v>
      </c>
      <c r="F380" t="s">
        <v>888</v>
      </c>
      <c r="G380" s="8" t="s">
        <v>889</v>
      </c>
      <c r="H380" s="9"/>
      <c r="I380" s="10">
        <f>IF(H380="","",H380/5)</f>
      </c>
      <c r="J380" s="11">
        <f>IF(H380="","",VLOOKUP(H380,Escala!$A$2:$C$7,3,FALSE))</f>
      </c>
    </row>
    <row r="381" spans="1:10" x14ac:dyDescent="0.25">
      <c r="A381" s="12">
        <v>380</v>
      </c>
      <c r="B381" s="12" t="s">
        <v>838</v>
      </c>
      <c r="C381" s="13" t="s">
        <v>839</v>
      </c>
      <c r="D381" s="12" t="s">
        <v>872</v>
      </c>
      <c r="E381" s="13" t="s">
        <v>873</v>
      </c>
      <c r="F381" s="12" t="s">
        <v>890</v>
      </c>
      <c r="G381" s="13" t="s">
        <v>891</v>
      </c>
      <c r="H381" s="9"/>
      <c r="I381" s="10">
        <f>IF(H381="","",H381/5)</f>
      </c>
      <c r="J381" s="11">
        <f>IF(H381="","",VLOOKUP(H381,Escala!$A$2:$C$7,3,FALSE))</f>
      </c>
    </row>
    <row r="382" spans="1:10" x14ac:dyDescent="0.25">
      <c r="A382">
        <v>381</v>
      </c>
      <c r="B382" t="s">
        <v>838</v>
      </c>
      <c r="C382" s="8" t="s">
        <v>839</v>
      </c>
      <c r="D382" t="s">
        <v>872</v>
      </c>
      <c r="E382" s="8" t="s">
        <v>873</v>
      </c>
      <c r="F382" t="s">
        <v>892</v>
      </c>
      <c r="G382" s="8" t="s">
        <v>893</v>
      </c>
      <c r="H382" s="9"/>
      <c r="I382" s="10">
        <f>IF(H382="","",H382/5)</f>
      </c>
      <c r="J382" s="11">
        <f>IF(H382="","",VLOOKUP(H382,Escala!$A$2:$C$7,3,FALSE))</f>
      </c>
    </row>
    <row r="383" spans="1:10" x14ac:dyDescent="0.25">
      <c r="A383" s="12">
        <v>382</v>
      </c>
      <c r="B383" s="12" t="s">
        <v>838</v>
      </c>
      <c r="C383" s="13" t="s">
        <v>839</v>
      </c>
      <c r="D383" s="12" t="s">
        <v>894</v>
      </c>
      <c r="E383" s="13" t="s">
        <v>895</v>
      </c>
      <c r="F383" s="12" t="s">
        <v>896</v>
      </c>
      <c r="G383" s="13" t="s">
        <v>897</v>
      </c>
      <c r="H383" s="9"/>
      <c r="I383" s="10">
        <f>IF(H383="","",H383/5)</f>
      </c>
      <c r="J383" s="11">
        <f>IF(H383="","",VLOOKUP(H383,Escala!$A$2:$C$7,3,FALSE))</f>
      </c>
    </row>
    <row r="384" spans="1:10" x14ac:dyDescent="0.25">
      <c r="A384">
        <v>383</v>
      </c>
      <c r="B384" t="s">
        <v>838</v>
      </c>
      <c r="C384" s="8" t="s">
        <v>839</v>
      </c>
      <c r="D384" t="s">
        <v>894</v>
      </c>
      <c r="E384" s="8" t="s">
        <v>895</v>
      </c>
      <c r="F384" t="s">
        <v>898</v>
      </c>
      <c r="G384" s="8" t="s">
        <v>899</v>
      </c>
      <c r="H384" s="9"/>
      <c r="I384" s="10">
        <f>IF(H384="","",H384/5)</f>
      </c>
      <c r="J384" s="11">
        <f>IF(H384="","",VLOOKUP(H384,Escala!$A$2:$C$7,3,FALSE))</f>
      </c>
    </row>
    <row r="385" spans="1:10" x14ac:dyDescent="0.25">
      <c r="A385" s="12">
        <v>384</v>
      </c>
      <c r="B385" s="12" t="s">
        <v>838</v>
      </c>
      <c r="C385" s="13" t="s">
        <v>839</v>
      </c>
      <c r="D385" s="12" t="s">
        <v>894</v>
      </c>
      <c r="E385" s="13" t="s">
        <v>895</v>
      </c>
      <c r="F385" s="12" t="s">
        <v>900</v>
      </c>
      <c r="G385" s="13" t="s">
        <v>901</v>
      </c>
      <c r="H385" s="9"/>
      <c r="I385" s="10">
        <f>IF(H385="","",H385/5)</f>
      </c>
      <c r="J385" s="11">
        <f>IF(H385="","",VLOOKUP(H385,Escala!$A$2:$C$7,3,FALSE))</f>
      </c>
    </row>
    <row r="386" spans="1:10" x14ac:dyDescent="0.25">
      <c r="A386">
        <v>385</v>
      </c>
      <c r="B386" t="s">
        <v>838</v>
      </c>
      <c r="C386" s="8" t="s">
        <v>839</v>
      </c>
      <c r="D386" t="s">
        <v>894</v>
      </c>
      <c r="E386" s="8" t="s">
        <v>895</v>
      </c>
      <c r="F386" t="s">
        <v>902</v>
      </c>
      <c r="G386" s="8" t="s">
        <v>903</v>
      </c>
      <c r="H386" s="9"/>
      <c r="I386" s="10">
        <f>IF(H386="","",H386/5)</f>
      </c>
      <c r="J386" s="11">
        <f>IF(H386="","",VLOOKUP(H386,Escala!$A$2:$C$7,3,FALSE))</f>
      </c>
    </row>
    <row r="387" spans="1:10" x14ac:dyDescent="0.25">
      <c r="A387" s="12">
        <v>386</v>
      </c>
      <c r="B387" s="12" t="s">
        <v>838</v>
      </c>
      <c r="C387" s="13" t="s">
        <v>839</v>
      </c>
      <c r="D387" s="12" t="s">
        <v>894</v>
      </c>
      <c r="E387" s="13" t="s">
        <v>895</v>
      </c>
      <c r="F387" s="12" t="s">
        <v>904</v>
      </c>
      <c r="G387" s="13" t="s">
        <v>905</v>
      </c>
      <c r="H387" s="9"/>
      <c r="I387" s="10">
        <f>IF(H387="","",H387/5)</f>
      </c>
      <c r="J387" s="11">
        <f>IF(H387="","",VLOOKUP(H387,Escala!$A$2:$C$7,3,FALSE))</f>
      </c>
    </row>
    <row r="388" spans="1:10" x14ac:dyDescent="0.25">
      <c r="A388">
        <v>387</v>
      </c>
      <c r="B388" t="s">
        <v>838</v>
      </c>
      <c r="C388" s="8" t="s">
        <v>839</v>
      </c>
      <c r="D388" t="s">
        <v>894</v>
      </c>
      <c r="E388" s="8" t="s">
        <v>895</v>
      </c>
      <c r="F388" t="s">
        <v>906</v>
      </c>
      <c r="G388" s="8" t="s">
        <v>907</v>
      </c>
      <c r="H388" s="9"/>
      <c r="I388" s="10">
        <f>IF(H388="","",H388/5)</f>
      </c>
      <c r="J388" s="11">
        <f>IF(H388="","",VLOOKUP(H388,Escala!$A$2:$C$7,3,FALSE))</f>
      </c>
    </row>
    <row r="389" spans="1:10" x14ac:dyDescent="0.25">
      <c r="A389" s="12">
        <v>388</v>
      </c>
      <c r="B389" s="12" t="s">
        <v>838</v>
      </c>
      <c r="C389" s="13" t="s">
        <v>839</v>
      </c>
      <c r="D389" s="12" t="s">
        <v>894</v>
      </c>
      <c r="E389" s="13" t="s">
        <v>895</v>
      </c>
      <c r="F389" s="12" t="s">
        <v>908</v>
      </c>
      <c r="G389" s="13" t="s">
        <v>909</v>
      </c>
      <c r="H389" s="9"/>
      <c r="I389" s="10">
        <f>IF(H389="","",H389/5)</f>
      </c>
      <c r="J389" s="11">
        <f>IF(H389="","",VLOOKUP(H389,Escala!$A$2:$C$7,3,FALSE))</f>
      </c>
    </row>
    <row r="390" spans="1:10" x14ac:dyDescent="0.25">
      <c r="A390">
        <v>389</v>
      </c>
      <c r="B390" t="s">
        <v>838</v>
      </c>
      <c r="C390" s="8" t="s">
        <v>839</v>
      </c>
      <c r="D390" t="s">
        <v>894</v>
      </c>
      <c r="E390" s="8" t="s">
        <v>895</v>
      </c>
      <c r="F390" t="s">
        <v>910</v>
      </c>
      <c r="G390" s="8" t="s">
        <v>911</v>
      </c>
      <c r="H390" s="9"/>
      <c r="I390" s="10">
        <f>IF(H390="","",H390/5)</f>
      </c>
      <c r="J390" s="11">
        <f>IF(H390="","",VLOOKUP(H390,Escala!$A$2:$C$7,3,FALSE))</f>
      </c>
    </row>
    <row r="391" spans="1:10" x14ac:dyDescent="0.25">
      <c r="A391" s="12">
        <v>390</v>
      </c>
      <c r="B391" s="12" t="s">
        <v>838</v>
      </c>
      <c r="C391" s="13" t="s">
        <v>839</v>
      </c>
      <c r="D391" s="12" t="s">
        <v>894</v>
      </c>
      <c r="E391" s="13" t="s">
        <v>895</v>
      </c>
      <c r="F391" s="12" t="s">
        <v>912</v>
      </c>
      <c r="G391" s="13" t="s">
        <v>913</v>
      </c>
      <c r="H391" s="9"/>
      <c r="I391" s="10">
        <f>IF(H391="","",H391/5)</f>
      </c>
      <c r="J391" s="11">
        <f>IF(H391="","",VLOOKUP(H391,Escala!$A$2:$C$7,3,FALSE))</f>
      </c>
    </row>
    <row r="392" spans="1:10" x14ac:dyDescent="0.25">
      <c r="A392">
        <v>391</v>
      </c>
      <c r="B392" t="s">
        <v>838</v>
      </c>
      <c r="C392" s="8" t="s">
        <v>839</v>
      </c>
      <c r="D392" t="s">
        <v>894</v>
      </c>
      <c r="E392" s="8" t="s">
        <v>895</v>
      </c>
      <c r="F392" t="s">
        <v>914</v>
      </c>
      <c r="G392" s="8" t="s">
        <v>915</v>
      </c>
      <c r="H392" s="9"/>
      <c r="I392" s="10">
        <f>IF(H392="","",H392/5)</f>
      </c>
      <c r="J392" s="11">
        <f>IF(H392="","",VLOOKUP(H392,Escala!$A$2:$C$7,3,FALSE))</f>
      </c>
    </row>
    <row r="393" spans="1:10" x14ac:dyDescent="0.25">
      <c r="A393" s="12">
        <v>392</v>
      </c>
      <c r="B393" s="12" t="s">
        <v>838</v>
      </c>
      <c r="C393" s="13" t="s">
        <v>839</v>
      </c>
      <c r="D393" s="12" t="s">
        <v>894</v>
      </c>
      <c r="E393" s="13" t="s">
        <v>895</v>
      </c>
      <c r="F393" s="12" t="s">
        <v>916</v>
      </c>
      <c r="G393" s="13" t="s">
        <v>917</v>
      </c>
      <c r="H393" s="9"/>
      <c r="I393" s="10">
        <f>IF(H393="","",H393/5)</f>
      </c>
      <c r="J393" s="11">
        <f>IF(H393="","",VLOOKUP(H393,Escala!$A$2:$C$7,3,FALSE))</f>
      </c>
    </row>
    <row r="394" spans="1:10" x14ac:dyDescent="0.25">
      <c r="A394">
        <v>393</v>
      </c>
      <c r="B394" t="s">
        <v>838</v>
      </c>
      <c r="C394" s="8" t="s">
        <v>839</v>
      </c>
      <c r="D394" t="s">
        <v>894</v>
      </c>
      <c r="E394" s="8" t="s">
        <v>895</v>
      </c>
      <c r="F394" t="s">
        <v>918</v>
      </c>
      <c r="G394" s="8" t="s">
        <v>919</v>
      </c>
      <c r="H394" s="9"/>
      <c r="I394" s="10">
        <f>IF(H394="","",H394/5)</f>
      </c>
      <c r="J394" s="11">
        <f>IF(H394="","",VLOOKUP(H394,Escala!$A$2:$C$7,3,FALSE))</f>
      </c>
    </row>
    <row r="395" spans="1:10" x14ac:dyDescent="0.25">
      <c r="A395" s="12">
        <v>394</v>
      </c>
      <c r="B395" s="12" t="s">
        <v>838</v>
      </c>
      <c r="C395" s="13" t="s">
        <v>839</v>
      </c>
      <c r="D395" s="12" t="s">
        <v>894</v>
      </c>
      <c r="E395" s="13" t="s">
        <v>895</v>
      </c>
      <c r="F395" s="12" t="s">
        <v>920</v>
      </c>
      <c r="G395" s="13" t="s">
        <v>921</v>
      </c>
      <c r="H395" s="9"/>
      <c r="I395" s="10">
        <f>IF(H395="","",H395/5)</f>
      </c>
      <c r="J395" s="11">
        <f>IF(H395="","",VLOOKUP(H395,Escala!$A$2:$C$7,3,FALSE))</f>
      </c>
    </row>
    <row r="396" spans="1:10" x14ac:dyDescent="0.25">
      <c r="A396">
        <v>395</v>
      </c>
      <c r="B396" t="s">
        <v>838</v>
      </c>
      <c r="C396" s="8" t="s">
        <v>839</v>
      </c>
      <c r="D396" t="s">
        <v>894</v>
      </c>
      <c r="E396" s="8" t="s">
        <v>895</v>
      </c>
      <c r="F396" t="s">
        <v>922</v>
      </c>
      <c r="G396" s="8" t="s">
        <v>923</v>
      </c>
      <c r="H396" s="9"/>
      <c r="I396" s="10">
        <f>IF(H396="","",H396/5)</f>
      </c>
      <c r="J396" s="11">
        <f>IF(H396="","",VLOOKUP(H396,Escala!$A$2:$C$7,3,FALSE))</f>
      </c>
    </row>
    <row r="397" spans="1:10" x14ac:dyDescent="0.25">
      <c r="A397" s="12">
        <v>396</v>
      </c>
      <c r="B397" s="12" t="s">
        <v>838</v>
      </c>
      <c r="C397" s="13" t="s">
        <v>839</v>
      </c>
      <c r="D397" s="12" t="s">
        <v>894</v>
      </c>
      <c r="E397" s="13" t="s">
        <v>895</v>
      </c>
      <c r="F397" s="12" t="s">
        <v>924</v>
      </c>
      <c r="G397" s="13" t="s">
        <v>925</v>
      </c>
      <c r="H397" s="9"/>
      <c r="I397" s="10">
        <f>IF(H397="","",H397/5)</f>
      </c>
      <c r="J397" s="11">
        <f>IF(H397="","",VLOOKUP(H397,Escala!$A$2:$C$7,3,FALSE))</f>
      </c>
    </row>
    <row r="398" spans="1:10" x14ac:dyDescent="0.25">
      <c r="A398">
        <v>397</v>
      </c>
      <c r="B398" t="s">
        <v>838</v>
      </c>
      <c r="C398" s="8" t="s">
        <v>839</v>
      </c>
      <c r="D398" t="s">
        <v>894</v>
      </c>
      <c r="E398" s="8" t="s">
        <v>895</v>
      </c>
      <c r="F398" t="s">
        <v>926</v>
      </c>
      <c r="G398" s="8" t="s">
        <v>927</v>
      </c>
      <c r="H398" s="9"/>
      <c r="I398" s="10">
        <f>IF(H398="","",H398/5)</f>
      </c>
      <c r="J398" s="11">
        <f>IF(H398="","",VLOOKUP(H398,Escala!$A$2:$C$7,3,FALSE))</f>
      </c>
    </row>
    <row r="399" spans="1:10" x14ac:dyDescent="0.25">
      <c r="A399" s="12">
        <v>398</v>
      </c>
      <c r="B399" s="12" t="s">
        <v>838</v>
      </c>
      <c r="C399" s="13" t="s">
        <v>839</v>
      </c>
      <c r="D399" s="12" t="s">
        <v>894</v>
      </c>
      <c r="E399" s="13" t="s">
        <v>895</v>
      </c>
      <c r="F399" s="12" t="s">
        <v>928</v>
      </c>
      <c r="G399" s="13" t="s">
        <v>929</v>
      </c>
      <c r="H399" s="9"/>
      <c r="I399" s="10">
        <f>IF(H399="","",H399/5)</f>
      </c>
      <c r="J399" s="11">
        <f>IF(H399="","",VLOOKUP(H399,Escala!$A$2:$C$7,3,FALSE))</f>
      </c>
    </row>
    <row r="400" spans="1:10" x14ac:dyDescent="0.25">
      <c r="A400">
        <v>399</v>
      </c>
      <c r="B400" t="s">
        <v>838</v>
      </c>
      <c r="C400" s="8" t="s">
        <v>839</v>
      </c>
      <c r="D400" t="s">
        <v>894</v>
      </c>
      <c r="E400" s="8" t="s">
        <v>895</v>
      </c>
      <c r="F400" t="s">
        <v>930</v>
      </c>
      <c r="G400" s="8" t="s">
        <v>931</v>
      </c>
      <c r="H400" s="9"/>
      <c r="I400" s="10">
        <f>IF(H400="","",H400/5)</f>
      </c>
      <c r="J400" s="11">
        <f>IF(H400="","",VLOOKUP(H400,Escala!$A$2:$C$7,3,FALSE))</f>
      </c>
    </row>
    <row r="401" spans="1:10" x14ac:dyDescent="0.25">
      <c r="A401" s="12">
        <v>400</v>
      </c>
      <c r="B401" s="12" t="s">
        <v>838</v>
      </c>
      <c r="C401" s="13" t="s">
        <v>839</v>
      </c>
      <c r="D401" s="12" t="s">
        <v>894</v>
      </c>
      <c r="E401" s="13" t="s">
        <v>895</v>
      </c>
      <c r="F401" s="12" t="s">
        <v>932</v>
      </c>
      <c r="G401" s="13" t="s">
        <v>933</v>
      </c>
      <c r="H401" s="9"/>
      <c r="I401" s="10">
        <f>IF(H401="","",H401/5)</f>
      </c>
      <c r="J401" s="11">
        <f>IF(H401="","",VLOOKUP(H401,Escala!$A$2:$C$7,3,FALSE))</f>
      </c>
    </row>
    <row r="402" spans="1:10" x14ac:dyDescent="0.25">
      <c r="A402">
        <v>401</v>
      </c>
      <c r="B402" t="s">
        <v>838</v>
      </c>
      <c r="C402" s="8" t="s">
        <v>839</v>
      </c>
      <c r="D402" t="s">
        <v>894</v>
      </c>
      <c r="E402" s="8" t="s">
        <v>895</v>
      </c>
      <c r="F402" t="s">
        <v>934</v>
      </c>
      <c r="G402" s="8" t="s">
        <v>935</v>
      </c>
      <c r="H402" s="9"/>
      <c r="I402" s="10">
        <f>IF(H402="","",H402/5)</f>
      </c>
      <c r="J402" s="11">
        <f>IF(H402="","",VLOOKUP(H402,Escala!$A$2:$C$7,3,FALSE))</f>
      </c>
    </row>
    <row r="403" spans="1:10" x14ac:dyDescent="0.25">
      <c r="A403" s="12">
        <v>402</v>
      </c>
      <c r="B403" s="12" t="s">
        <v>838</v>
      </c>
      <c r="C403" s="13" t="s">
        <v>839</v>
      </c>
      <c r="D403" s="12" t="s">
        <v>894</v>
      </c>
      <c r="E403" s="13" t="s">
        <v>895</v>
      </c>
      <c r="F403" s="12" t="s">
        <v>936</v>
      </c>
      <c r="G403" s="13" t="s">
        <v>937</v>
      </c>
      <c r="H403" s="9"/>
      <c r="I403" s="10">
        <f>IF(H403="","",H403/5)</f>
      </c>
      <c r="J403" s="11">
        <f>IF(H403="","",VLOOKUP(H403,Escala!$A$2:$C$7,3,FALSE))</f>
      </c>
    </row>
    <row r="404" spans="1:10" x14ac:dyDescent="0.25">
      <c r="A404">
        <v>403</v>
      </c>
      <c r="B404" t="s">
        <v>838</v>
      </c>
      <c r="C404" s="8" t="s">
        <v>839</v>
      </c>
      <c r="D404" t="s">
        <v>938</v>
      </c>
      <c r="E404" s="8" t="s">
        <v>939</v>
      </c>
      <c r="F404" t="s">
        <v>940</v>
      </c>
      <c r="G404" s="8" t="s">
        <v>941</v>
      </c>
      <c r="H404" s="9"/>
      <c r="I404" s="10">
        <f>IF(H404="","",H404/5)</f>
      </c>
      <c r="J404" s="11">
        <f>IF(H404="","",VLOOKUP(H404,Escala!$A$2:$C$7,3,FALSE))</f>
      </c>
    </row>
    <row r="405" spans="1:10" x14ac:dyDescent="0.25">
      <c r="A405" s="12">
        <v>404</v>
      </c>
      <c r="B405" s="12" t="s">
        <v>838</v>
      </c>
      <c r="C405" s="13" t="s">
        <v>839</v>
      </c>
      <c r="D405" s="12" t="s">
        <v>938</v>
      </c>
      <c r="E405" s="13" t="s">
        <v>939</v>
      </c>
      <c r="F405" s="12" t="s">
        <v>942</v>
      </c>
      <c r="G405" s="13" t="s">
        <v>943</v>
      </c>
      <c r="H405" s="9"/>
      <c r="I405" s="10">
        <f>IF(H405="","",H405/5)</f>
      </c>
      <c r="J405" s="11">
        <f>IF(H405="","",VLOOKUP(H405,Escala!$A$2:$C$7,3,FALSE))</f>
      </c>
    </row>
    <row r="406" spans="1:10" x14ac:dyDescent="0.25">
      <c r="A406">
        <v>405</v>
      </c>
      <c r="B406" t="s">
        <v>838</v>
      </c>
      <c r="C406" s="8" t="s">
        <v>839</v>
      </c>
      <c r="D406" t="s">
        <v>938</v>
      </c>
      <c r="E406" s="8" t="s">
        <v>939</v>
      </c>
      <c r="F406" t="s">
        <v>944</v>
      </c>
      <c r="G406" s="8" t="s">
        <v>945</v>
      </c>
      <c r="H406" s="9"/>
      <c r="I406" s="10">
        <f>IF(H406="","",H406/5)</f>
      </c>
      <c r="J406" s="11">
        <f>IF(H406="","",VLOOKUP(H406,Escala!$A$2:$C$7,3,FALSE))</f>
      </c>
    </row>
    <row r="407" spans="1:10" x14ac:dyDescent="0.25">
      <c r="A407" s="12">
        <v>406</v>
      </c>
      <c r="B407" s="12" t="s">
        <v>838</v>
      </c>
      <c r="C407" s="13" t="s">
        <v>839</v>
      </c>
      <c r="D407" s="12" t="s">
        <v>938</v>
      </c>
      <c r="E407" s="13" t="s">
        <v>939</v>
      </c>
      <c r="F407" s="12" t="s">
        <v>946</v>
      </c>
      <c r="G407" s="13" t="s">
        <v>947</v>
      </c>
      <c r="H407" s="9"/>
      <c r="I407" s="10">
        <f>IF(H407="","",H407/5)</f>
      </c>
      <c r="J407" s="11">
        <f>IF(H407="","",VLOOKUP(H407,Escala!$A$2:$C$7,3,FALSE))</f>
      </c>
    </row>
    <row r="408" spans="1:10" x14ac:dyDescent="0.25">
      <c r="A408">
        <v>407</v>
      </c>
      <c r="B408" t="s">
        <v>838</v>
      </c>
      <c r="C408" s="8" t="s">
        <v>839</v>
      </c>
      <c r="D408" t="s">
        <v>938</v>
      </c>
      <c r="E408" s="8" t="s">
        <v>939</v>
      </c>
      <c r="F408" t="s">
        <v>948</v>
      </c>
      <c r="G408" s="8" t="s">
        <v>949</v>
      </c>
      <c r="H408" s="9"/>
      <c r="I408" s="10">
        <f>IF(H408="","",H408/5)</f>
      </c>
      <c r="J408" s="11">
        <f>IF(H408="","",VLOOKUP(H408,Escala!$A$2:$C$7,3,FALSE))</f>
      </c>
    </row>
    <row r="409" spans="1:10" x14ac:dyDescent="0.25">
      <c r="A409" s="12">
        <v>408</v>
      </c>
      <c r="B409" s="12" t="s">
        <v>838</v>
      </c>
      <c r="C409" s="13" t="s">
        <v>839</v>
      </c>
      <c r="D409" s="12" t="s">
        <v>938</v>
      </c>
      <c r="E409" s="13" t="s">
        <v>939</v>
      </c>
      <c r="F409" s="12" t="s">
        <v>950</v>
      </c>
      <c r="G409" s="13" t="s">
        <v>951</v>
      </c>
      <c r="H409" s="9"/>
      <c r="I409" s="10">
        <f>IF(H409="","",H409/5)</f>
      </c>
      <c r="J409" s="11">
        <f>IF(H409="","",VLOOKUP(H409,Escala!$A$2:$C$7,3,FALSE))</f>
      </c>
    </row>
    <row r="410" spans="1:10" x14ac:dyDescent="0.25">
      <c r="A410">
        <v>409</v>
      </c>
      <c r="B410" t="s">
        <v>838</v>
      </c>
      <c r="C410" s="8" t="s">
        <v>839</v>
      </c>
      <c r="D410" t="s">
        <v>938</v>
      </c>
      <c r="E410" s="8" t="s">
        <v>939</v>
      </c>
      <c r="F410" t="s">
        <v>952</v>
      </c>
      <c r="G410" s="8" t="s">
        <v>953</v>
      </c>
      <c r="H410" s="9"/>
      <c r="I410" s="10">
        <f>IF(H410="","",H410/5)</f>
      </c>
      <c r="J410" s="11">
        <f>IF(H410="","",VLOOKUP(H410,Escala!$A$2:$C$7,3,FALSE))</f>
      </c>
    </row>
    <row r="411" spans="1:10" x14ac:dyDescent="0.25">
      <c r="A411" s="12">
        <v>410</v>
      </c>
      <c r="B411" s="12" t="s">
        <v>838</v>
      </c>
      <c r="C411" s="13" t="s">
        <v>839</v>
      </c>
      <c r="D411" s="12" t="s">
        <v>938</v>
      </c>
      <c r="E411" s="13" t="s">
        <v>939</v>
      </c>
      <c r="F411" s="12" t="s">
        <v>954</v>
      </c>
      <c r="G411" s="13" t="s">
        <v>955</v>
      </c>
      <c r="H411" s="9"/>
      <c r="I411" s="10">
        <f>IF(H411="","",H411/5)</f>
      </c>
      <c r="J411" s="11">
        <f>IF(H411="","",VLOOKUP(H411,Escala!$A$2:$C$7,3,FALSE))</f>
      </c>
    </row>
    <row r="412" spans="1:10" x14ac:dyDescent="0.25">
      <c r="A412">
        <v>411</v>
      </c>
      <c r="B412" t="s">
        <v>838</v>
      </c>
      <c r="C412" s="8" t="s">
        <v>839</v>
      </c>
      <c r="D412" t="s">
        <v>938</v>
      </c>
      <c r="E412" s="8" t="s">
        <v>939</v>
      </c>
      <c r="F412" t="s">
        <v>956</v>
      </c>
      <c r="G412" s="8" t="s">
        <v>957</v>
      </c>
      <c r="H412" s="9"/>
      <c r="I412" s="10">
        <f>IF(H412="","",H412/5)</f>
      </c>
      <c r="J412" s="11">
        <f>IF(H412="","",VLOOKUP(H412,Escala!$A$2:$C$7,3,FALSE))</f>
      </c>
    </row>
    <row r="413" spans="1:10" x14ac:dyDescent="0.25">
      <c r="A413" s="12">
        <v>412</v>
      </c>
      <c r="B413" s="12" t="s">
        <v>838</v>
      </c>
      <c r="C413" s="13" t="s">
        <v>839</v>
      </c>
      <c r="D413" s="12" t="s">
        <v>938</v>
      </c>
      <c r="E413" s="13" t="s">
        <v>939</v>
      </c>
      <c r="F413" s="12" t="s">
        <v>958</v>
      </c>
      <c r="G413" s="13" t="s">
        <v>959</v>
      </c>
      <c r="H413" s="9"/>
      <c r="I413" s="10">
        <f>IF(H413="","",H413/5)</f>
      </c>
      <c r="J413" s="11">
        <f>IF(H413="","",VLOOKUP(H413,Escala!$A$2:$C$7,3,FALSE))</f>
      </c>
    </row>
    <row r="414" spans="1:10" x14ac:dyDescent="0.25">
      <c r="A414">
        <v>413</v>
      </c>
      <c r="B414" t="s">
        <v>838</v>
      </c>
      <c r="C414" s="8" t="s">
        <v>839</v>
      </c>
      <c r="D414" t="s">
        <v>938</v>
      </c>
      <c r="E414" s="8" t="s">
        <v>939</v>
      </c>
      <c r="F414" t="s">
        <v>960</v>
      </c>
      <c r="G414" s="8" t="s">
        <v>961</v>
      </c>
      <c r="H414" s="9"/>
      <c r="I414" s="10">
        <f>IF(H414="","",H414/5)</f>
      </c>
      <c r="J414" s="11">
        <f>IF(H414="","",VLOOKUP(H414,Escala!$A$2:$C$7,3,FALSE))</f>
      </c>
    </row>
    <row r="415" spans="1:10" x14ac:dyDescent="0.25">
      <c r="A415" s="12">
        <v>414</v>
      </c>
      <c r="B415" s="12" t="s">
        <v>838</v>
      </c>
      <c r="C415" s="13" t="s">
        <v>839</v>
      </c>
      <c r="D415" s="12" t="s">
        <v>938</v>
      </c>
      <c r="E415" s="13" t="s">
        <v>939</v>
      </c>
      <c r="F415" s="12" t="s">
        <v>962</v>
      </c>
      <c r="G415" s="13" t="s">
        <v>963</v>
      </c>
      <c r="H415" s="9"/>
      <c r="I415" s="10">
        <f>IF(H415="","",H415/5)</f>
      </c>
      <c r="J415" s="11">
        <f>IF(H415="","",VLOOKUP(H415,Escala!$A$2:$C$7,3,FALSE))</f>
      </c>
    </row>
    <row r="416" spans="1:10" x14ac:dyDescent="0.25">
      <c r="A416">
        <v>415</v>
      </c>
      <c r="B416" t="s">
        <v>838</v>
      </c>
      <c r="C416" s="8" t="s">
        <v>839</v>
      </c>
      <c r="D416" t="s">
        <v>964</v>
      </c>
      <c r="E416" s="8" t="s">
        <v>965</v>
      </c>
      <c r="F416" t="s">
        <v>966</v>
      </c>
      <c r="G416" s="8" t="s">
        <v>967</v>
      </c>
      <c r="H416" s="9"/>
      <c r="I416" s="10">
        <f>IF(H416="","",H416/5)</f>
      </c>
      <c r="J416" s="11">
        <f>IF(H416="","",VLOOKUP(H416,Escala!$A$2:$C$7,3,FALSE))</f>
      </c>
    </row>
    <row r="417" spans="1:10" x14ac:dyDescent="0.25">
      <c r="A417" s="12">
        <v>416</v>
      </c>
      <c r="B417" s="12" t="s">
        <v>838</v>
      </c>
      <c r="C417" s="13" t="s">
        <v>839</v>
      </c>
      <c r="D417" s="12" t="s">
        <v>964</v>
      </c>
      <c r="E417" s="13" t="s">
        <v>965</v>
      </c>
      <c r="F417" s="12" t="s">
        <v>968</v>
      </c>
      <c r="G417" s="13" t="s">
        <v>969</v>
      </c>
      <c r="H417" s="9"/>
      <c r="I417" s="10">
        <f>IF(H417="","",H417/5)</f>
      </c>
      <c r="J417" s="11">
        <f>IF(H417="","",VLOOKUP(H417,Escala!$A$2:$C$7,3,FALSE))</f>
      </c>
    </row>
    <row r="418" spans="1:10" x14ac:dyDescent="0.25">
      <c r="A418">
        <v>417</v>
      </c>
      <c r="B418" t="s">
        <v>838</v>
      </c>
      <c r="C418" s="8" t="s">
        <v>839</v>
      </c>
      <c r="D418" t="s">
        <v>964</v>
      </c>
      <c r="E418" s="8" t="s">
        <v>965</v>
      </c>
      <c r="F418" t="s">
        <v>970</v>
      </c>
      <c r="G418" s="8" t="s">
        <v>971</v>
      </c>
      <c r="H418" s="9"/>
      <c r="I418" s="10">
        <f>IF(H418="","",H418/5)</f>
      </c>
      <c r="J418" s="11">
        <f>IF(H418="","",VLOOKUP(H418,Escala!$A$2:$C$7,3,FALSE))</f>
      </c>
    </row>
    <row r="419" spans="1:10" x14ac:dyDescent="0.25">
      <c r="A419" s="12">
        <v>418</v>
      </c>
      <c r="B419" s="12" t="s">
        <v>838</v>
      </c>
      <c r="C419" s="13" t="s">
        <v>839</v>
      </c>
      <c r="D419" s="12" t="s">
        <v>964</v>
      </c>
      <c r="E419" s="13" t="s">
        <v>965</v>
      </c>
      <c r="F419" s="12" t="s">
        <v>972</v>
      </c>
      <c r="G419" s="13" t="s">
        <v>973</v>
      </c>
      <c r="H419" s="9"/>
      <c r="I419" s="10">
        <f>IF(H419="","",H419/5)</f>
      </c>
      <c r="J419" s="11">
        <f>IF(H419="","",VLOOKUP(H419,Escala!$A$2:$C$7,3,FALSE))</f>
      </c>
    </row>
    <row r="420" spans="1:10" x14ac:dyDescent="0.25">
      <c r="A420">
        <v>419</v>
      </c>
      <c r="B420" t="s">
        <v>838</v>
      </c>
      <c r="C420" s="8" t="s">
        <v>839</v>
      </c>
      <c r="D420" t="s">
        <v>964</v>
      </c>
      <c r="E420" s="8" t="s">
        <v>965</v>
      </c>
      <c r="F420" t="s">
        <v>974</v>
      </c>
      <c r="G420" s="8" t="s">
        <v>975</v>
      </c>
      <c r="H420" s="9"/>
      <c r="I420" s="10">
        <f>IF(H420="","",H420/5)</f>
      </c>
      <c r="J420" s="11">
        <f>IF(H420="","",VLOOKUP(H420,Escala!$A$2:$C$7,3,FALSE))</f>
      </c>
    </row>
    <row r="421" spans="1:10" x14ac:dyDescent="0.25">
      <c r="A421" s="12">
        <v>420</v>
      </c>
      <c r="B421" s="12" t="s">
        <v>838</v>
      </c>
      <c r="C421" s="13" t="s">
        <v>839</v>
      </c>
      <c r="D421" s="12" t="s">
        <v>964</v>
      </c>
      <c r="E421" s="13" t="s">
        <v>965</v>
      </c>
      <c r="F421" s="12" t="s">
        <v>976</v>
      </c>
      <c r="G421" s="13" t="s">
        <v>977</v>
      </c>
      <c r="H421" s="9"/>
      <c r="I421" s="10">
        <f>IF(H421="","",H421/5)</f>
      </c>
      <c r="J421" s="11">
        <f>IF(H421="","",VLOOKUP(H421,Escala!$A$2:$C$7,3,FALSE))</f>
      </c>
    </row>
    <row r="422" spans="1:10" x14ac:dyDescent="0.25">
      <c r="A422">
        <v>421</v>
      </c>
      <c r="B422" t="s">
        <v>838</v>
      </c>
      <c r="C422" s="8" t="s">
        <v>839</v>
      </c>
      <c r="D422" t="s">
        <v>964</v>
      </c>
      <c r="E422" s="8" t="s">
        <v>965</v>
      </c>
      <c r="F422" t="s">
        <v>978</v>
      </c>
      <c r="G422" s="8" t="s">
        <v>979</v>
      </c>
      <c r="H422" s="9"/>
      <c r="I422" s="10">
        <f>IF(H422="","",H422/5)</f>
      </c>
      <c r="J422" s="11">
        <f>IF(H422="","",VLOOKUP(H422,Escala!$A$2:$C$7,3,FALSE))</f>
      </c>
    </row>
    <row r="423" spans="1:10" x14ac:dyDescent="0.25">
      <c r="A423" s="12">
        <v>422</v>
      </c>
      <c r="B423" s="12" t="s">
        <v>838</v>
      </c>
      <c r="C423" s="13" t="s">
        <v>839</v>
      </c>
      <c r="D423" s="12" t="s">
        <v>964</v>
      </c>
      <c r="E423" s="13" t="s">
        <v>965</v>
      </c>
      <c r="F423" s="12" t="s">
        <v>980</v>
      </c>
      <c r="G423" s="13" t="s">
        <v>981</v>
      </c>
      <c r="H423" s="9"/>
      <c r="I423" s="10">
        <f>IF(H423="","",H423/5)</f>
      </c>
      <c r="J423" s="11">
        <f>IF(H423="","",VLOOKUP(H423,Escala!$A$2:$C$7,3,FALSE))</f>
      </c>
    </row>
    <row r="424" spans="1:10" x14ac:dyDescent="0.25">
      <c r="A424">
        <v>423</v>
      </c>
      <c r="B424" t="s">
        <v>838</v>
      </c>
      <c r="C424" s="8" t="s">
        <v>839</v>
      </c>
      <c r="D424" t="s">
        <v>964</v>
      </c>
      <c r="E424" s="8" t="s">
        <v>965</v>
      </c>
      <c r="F424" t="s">
        <v>982</v>
      </c>
      <c r="G424" s="8" t="s">
        <v>983</v>
      </c>
      <c r="H424" s="9"/>
      <c r="I424" s="10">
        <f>IF(H424="","",H424/5)</f>
      </c>
      <c r="J424" s="11">
        <f>IF(H424="","",VLOOKUP(H424,Escala!$A$2:$C$7,3,FALSE))</f>
      </c>
    </row>
    <row r="425" spans="1:10" x14ac:dyDescent="0.25">
      <c r="A425" s="12">
        <v>424</v>
      </c>
      <c r="B425" s="12" t="s">
        <v>838</v>
      </c>
      <c r="C425" s="13" t="s">
        <v>839</v>
      </c>
      <c r="D425" s="12" t="s">
        <v>984</v>
      </c>
      <c r="E425" s="13" t="s">
        <v>985</v>
      </c>
      <c r="F425" s="12" t="s">
        <v>986</v>
      </c>
      <c r="G425" s="13" t="s">
        <v>987</v>
      </c>
      <c r="H425" s="9"/>
      <c r="I425" s="10">
        <f>IF(H425="","",H425/5)</f>
      </c>
      <c r="J425" s="11">
        <f>IF(H425="","",VLOOKUP(H425,Escala!$A$2:$C$7,3,FALSE))</f>
      </c>
    </row>
    <row r="426" spans="1:10" x14ac:dyDescent="0.25">
      <c r="A426">
        <v>425</v>
      </c>
      <c r="B426" t="s">
        <v>838</v>
      </c>
      <c r="C426" s="8" t="s">
        <v>839</v>
      </c>
      <c r="D426" t="s">
        <v>984</v>
      </c>
      <c r="E426" s="8" t="s">
        <v>985</v>
      </c>
      <c r="F426" t="s">
        <v>988</v>
      </c>
      <c r="G426" s="8" t="s">
        <v>989</v>
      </c>
      <c r="H426" s="9"/>
      <c r="I426" s="10">
        <f>IF(H426="","",H426/5)</f>
      </c>
      <c r="J426" s="11">
        <f>IF(H426="","",VLOOKUP(H426,Escala!$A$2:$C$7,3,FALSE))</f>
      </c>
    </row>
    <row r="427" spans="1:10" x14ac:dyDescent="0.25">
      <c r="A427" s="12">
        <v>426</v>
      </c>
      <c r="B427" s="12" t="s">
        <v>838</v>
      </c>
      <c r="C427" s="13" t="s">
        <v>839</v>
      </c>
      <c r="D427" s="12" t="s">
        <v>984</v>
      </c>
      <c r="E427" s="13" t="s">
        <v>985</v>
      </c>
      <c r="F427" s="12" t="s">
        <v>990</v>
      </c>
      <c r="G427" s="13" t="s">
        <v>991</v>
      </c>
      <c r="H427" s="9"/>
      <c r="I427" s="10">
        <f>IF(H427="","",H427/5)</f>
      </c>
      <c r="J427" s="11">
        <f>IF(H427="","",VLOOKUP(H427,Escala!$A$2:$C$7,3,FALSE))</f>
      </c>
    </row>
    <row r="428" spans="1:10" x14ac:dyDescent="0.25">
      <c r="A428">
        <v>427</v>
      </c>
      <c r="B428" t="s">
        <v>838</v>
      </c>
      <c r="C428" s="8" t="s">
        <v>839</v>
      </c>
      <c r="D428" t="s">
        <v>984</v>
      </c>
      <c r="E428" s="8" t="s">
        <v>985</v>
      </c>
      <c r="F428" t="s">
        <v>992</v>
      </c>
      <c r="G428" s="8" t="s">
        <v>993</v>
      </c>
      <c r="H428" s="9"/>
      <c r="I428" s="10">
        <f>IF(H428="","",H428/5)</f>
      </c>
      <c r="J428" s="11">
        <f>IF(H428="","",VLOOKUP(H428,Escala!$A$2:$C$7,3,FALSE))</f>
      </c>
    </row>
    <row r="429" spans="1:10" x14ac:dyDescent="0.25">
      <c r="A429" s="12">
        <v>428</v>
      </c>
      <c r="B429" s="12" t="s">
        <v>838</v>
      </c>
      <c r="C429" s="13" t="s">
        <v>839</v>
      </c>
      <c r="D429" s="12" t="s">
        <v>984</v>
      </c>
      <c r="E429" s="13" t="s">
        <v>985</v>
      </c>
      <c r="F429" s="12" t="s">
        <v>994</v>
      </c>
      <c r="G429" s="13" t="s">
        <v>995</v>
      </c>
      <c r="H429" s="9"/>
      <c r="I429" s="10">
        <f>IF(H429="","",H429/5)</f>
      </c>
      <c r="J429" s="11">
        <f>IF(H429="","",VLOOKUP(H429,Escala!$A$2:$C$7,3,FALSE))</f>
      </c>
    </row>
    <row r="430" spans="1:10" x14ac:dyDescent="0.25">
      <c r="A430">
        <v>429</v>
      </c>
      <c r="B430" t="s">
        <v>838</v>
      </c>
      <c r="C430" s="8" t="s">
        <v>839</v>
      </c>
      <c r="D430" t="s">
        <v>984</v>
      </c>
      <c r="E430" s="8" t="s">
        <v>985</v>
      </c>
      <c r="F430" t="s">
        <v>996</v>
      </c>
      <c r="G430" s="8" t="s">
        <v>997</v>
      </c>
      <c r="H430" s="9"/>
      <c r="I430" s="10">
        <f>IF(H430="","",H430/5)</f>
      </c>
      <c r="J430" s="11">
        <f>IF(H430="","",VLOOKUP(H430,Escala!$A$2:$C$7,3,FALSE))</f>
      </c>
    </row>
    <row r="431" spans="1:10" x14ac:dyDescent="0.25">
      <c r="A431" s="12">
        <v>430</v>
      </c>
      <c r="B431" s="12" t="s">
        <v>838</v>
      </c>
      <c r="C431" s="13" t="s">
        <v>839</v>
      </c>
      <c r="D431" s="12" t="s">
        <v>984</v>
      </c>
      <c r="E431" s="13" t="s">
        <v>985</v>
      </c>
      <c r="F431" s="12" t="s">
        <v>998</v>
      </c>
      <c r="G431" s="13" t="s">
        <v>999</v>
      </c>
      <c r="H431" s="9"/>
      <c r="I431" s="10">
        <f>IF(H431="","",H431/5)</f>
      </c>
      <c r="J431" s="11">
        <f>IF(H431="","",VLOOKUP(H431,Escala!$A$2:$C$7,3,FALSE))</f>
      </c>
    </row>
    <row r="432" spans="1:10" x14ac:dyDescent="0.25">
      <c r="A432">
        <v>431</v>
      </c>
      <c r="B432" t="s">
        <v>838</v>
      </c>
      <c r="C432" s="8" t="s">
        <v>839</v>
      </c>
      <c r="D432" t="s">
        <v>984</v>
      </c>
      <c r="E432" s="8" t="s">
        <v>985</v>
      </c>
      <c r="F432" t="s">
        <v>1000</v>
      </c>
      <c r="G432" s="8" t="s">
        <v>1001</v>
      </c>
      <c r="H432" s="9"/>
      <c r="I432" s="10">
        <f>IF(H432="","",H432/5)</f>
      </c>
      <c r="J432" s="11">
        <f>IF(H432="","",VLOOKUP(H432,Escala!$A$2:$C$7,3,FALSE))</f>
      </c>
    </row>
    <row r="433" spans="1:10" x14ac:dyDescent="0.25">
      <c r="A433" s="12">
        <v>432</v>
      </c>
      <c r="B433" s="12" t="s">
        <v>838</v>
      </c>
      <c r="C433" s="13" t="s">
        <v>839</v>
      </c>
      <c r="D433" s="12" t="s">
        <v>984</v>
      </c>
      <c r="E433" s="13" t="s">
        <v>985</v>
      </c>
      <c r="F433" s="12" t="s">
        <v>1002</v>
      </c>
      <c r="G433" s="13" t="s">
        <v>1003</v>
      </c>
      <c r="H433" s="9"/>
      <c r="I433" s="10">
        <f>IF(H433="","",H433/5)</f>
      </c>
      <c r="J433" s="11">
        <f>IF(H433="","",VLOOKUP(H433,Escala!$A$2:$C$7,3,FALSE))</f>
      </c>
    </row>
    <row r="434" spans="1:10" x14ac:dyDescent="0.25">
      <c r="A434">
        <v>433</v>
      </c>
      <c r="B434" t="s">
        <v>838</v>
      </c>
      <c r="C434" s="8" t="s">
        <v>839</v>
      </c>
      <c r="D434" t="s">
        <v>984</v>
      </c>
      <c r="E434" s="8" t="s">
        <v>985</v>
      </c>
      <c r="F434" t="s">
        <v>1004</v>
      </c>
      <c r="G434" s="8" t="s">
        <v>1005</v>
      </c>
      <c r="H434" s="9"/>
      <c r="I434" s="10">
        <f>IF(H434="","",H434/5)</f>
      </c>
      <c r="J434" s="11">
        <f>IF(H434="","",VLOOKUP(H434,Escala!$A$2:$C$7,3,FALSE))</f>
      </c>
    </row>
    <row r="435" spans="1:10" x14ac:dyDescent="0.25">
      <c r="A435" s="12">
        <v>434</v>
      </c>
      <c r="B435" s="12" t="s">
        <v>1006</v>
      </c>
      <c r="C435" s="13" t="s">
        <v>1007</v>
      </c>
      <c r="D435" s="12" t="s">
        <v>1008</v>
      </c>
      <c r="E435" s="13" t="s">
        <v>1009</v>
      </c>
      <c r="F435" s="12" t="s">
        <v>1010</v>
      </c>
      <c r="G435" s="13" t="s">
        <v>1011</v>
      </c>
      <c r="H435" s="9"/>
      <c r="I435" s="10">
        <f>IF(H435="","",H435/5)</f>
      </c>
      <c r="J435" s="11">
        <f>IF(H435="","",VLOOKUP(H435,Escala!$A$2:$C$7,3,FALSE))</f>
      </c>
    </row>
    <row r="436" spans="1:10" x14ac:dyDescent="0.25">
      <c r="A436">
        <v>435</v>
      </c>
      <c r="B436" t="s">
        <v>1006</v>
      </c>
      <c r="C436" s="8" t="s">
        <v>1007</v>
      </c>
      <c r="D436" t="s">
        <v>1008</v>
      </c>
      <c r="E436" s="8" t="s">
        <v>1009</v>
      </c>
      <c r="F436" t="s">
        <v>1012</v>
      </c>
      <c r="G436" s="8" t="s">
        <v>1013</v>
      </c>
      <c r="H436" s="9"/>
      <c r="I436" s="10">
        <f>IF(H436="","",H436/5)</f>
      </c>
      <c r="J436" s="11">
        <f>IF(H436="","",VLOOKUP(H436,Escala!$A$2:$C$7,3,FALSE))</f>
      </c>
    </row>
    <row r="437" spans="1:10" x14ac:dyDescent="0.25">
      <c r="A437" s="12">
        <v>436</v>
      </c>
      <c r="B437" s="12" t="s">
        <v>1006</v>
      </c>
      <c r="C437" s="13" t="s">
        <v>1007</v>
      </c>
      <c r="D437" s="12" t="s">
        <v>1008</v>
      </c>
      <c r="E437" s="13" t="s">
        <v>1009</v>
      </c>
      <c r="F437" s="12" t="s">
        <v>1014</v>
      </c>
      <c r="G437" s="13" t="s">
        <v>1015</v>
      </c>
      <c r="H437" s="9"/>
      <c r="I437" s="10">
        <f>IF(H437="","",H437/5)</f>
      </c>
      <c r="J437" s="11">
        <f>IF(H437="","",VLOOKUP(H437,Escala!$A$2:$C$7,3,FALSE))</f>
      </c>
    </row>
    <row r="438" spans="1:10" x14ac:dyDescent="0.25">
      <c r="A438">
        <v>437</v>
      </c>
      <c r="B438" t="s">
        <v>1006</v>
      </c>
      <c r="C438" s="8" t="s">
        <v>1007</v>
      </c>
      <c r="D438" t="s">
        <v>1008</v>
      </c>
      <c r="E438" s="8" t="s">
        <v>1009</v>
      </c>
      <c r="F438" t="s">
        <v>1016</v>
      </c>
      <c r="G438" s="8" t="s">
        <v>1017</v>
      </c>
      <c r="H438" s="9"/>
      <c r="I438" s="10">
        <f>IF(H438="","",H438/5)</f>
      </c>
      <c r="J438" s="11">
        <f>IF(H438="","",VLOOKUP(H438,Escala!$A$2:$C$7,3,FALSE))</f>
      </c>
    </row>
    <row r="439" spans="1:10" x14ac:dyDescent="0.25">
      <c r="A439" s="12">
        <v>438</v>
      </c>
      <c r="B439" s="12" t="s">
        <v>1006</v>
      </c>
      <c r="C439" s="13" t="s">
        <v>1007</v>
      </c>
      <c r="D439" s="12" t="s">
        <v>1008</v>
      </c>
      <c r="E439" s="13" t="s">
        <v>1009</v>
      </c>
      <c r="F439" s="12" t="s">
        <v>1018</v>
      </c>
      <c r="G439" s="13" t="s">
        <v>1019</v>
      </c>
      <c r="H439" s="9"/>
      <c r="I439" s="10">
        <f>IF(H439="","",H439/5)</f>
      </c>
      <c r="J439" s="11">
        <f>IF(H439="","",VLOOKUP(H439,Escala!$A$2:$C$7,3,FALSE))</f>
      </c>
    </row>
    <row r="440" spans="1:10" x14ac:dyDescent="0.25">
      <c r="A440">
        <v>439</v>
      </c>
      <c r="B440" t="s">
        <v>1006</v>
      </c>
      <c r="C440" s="8" t="s">
        <v>1007</v>
      </c>
      <c r="D440" t="s">
        <v>1008</v>
      </c>
      <c r="E440" s="8" t="s">
        <v>1009</v>
      </c>
      <c r="F440" t="s">
        <v>1020</v>
      </c>
      <c r="G440" s="8" t="s">
        <v>1021</v>
      </c>
      <c r="H440" s="9"/>
      <c r="I440" s="10">
        <f>IF(H440="","",H440/5)</f>
      </c>
      <c r="J440" s="11">
        <f>IF(H440="","",VLOOKUP(H440,Escala!$A$2:$C$7,3,FALSE))</f>
      </c>
    </row>
    <row r="441" spans="1:10" x14ac:dyDescent="0.25">
      <c r="A441" s="12">
        <v>440</v>
      </c>
      <c r="B441" s="12" t="s">
        <v>1006</v>
      </c>
      <c r="C441" s="13" t="s">
        <v>1007</v>
      </c>
      <c r="D441" s="12" t="s">
        <v>1008</v>
      </c>
      <c r="E441" s="13" t="s">
        <v>1009</v>
      </c>
      <c r="F441" s="12" t="s">
        <v>1022</v>
      </c>
      <c r="G441" s="13" t="s">
        <v>1023</v>
      </c>
      <c r="H441" s="9"/>
      <c r="I441" s="10">
        <f>IF(H441="","",H441/5)</f>
      </c>
      <c r="J441" s="11">
        <f>IF(H441="","",VLOOKUP(H441,Escala!$A$2:$C$7,3,FALSE))</f>
      </c>
    </row>
    <row r="442" spans="1:10" x14ac:dyDescent="0.25">
      <c r="A442">
        <v>441</v>
      </c>
      <c r="B442" t="s">
        <v>1006</v>
      </c>
      <c r="C442" s="8" t="s">
        <v>1007</v>
      </c>
      <c r="D442" t="s">
        <v>1008</v>
      </c>
      <c r="E442" s="8" t="s">
        <v>1009</v>
      </c>
      <c r="F442" t="s">
        <v>1024</v>
      </c>
      <c r="G442" s="8" t="s">
        <v>1025</v>
      </c>
      <c r="H442" s="9"/>
      <c r="I442" s="10">
        <f>IF(H442="","",H442/5)</f>
      </c>
      <c r="J442" s="11">
        <f>IF(H442="","",VLOOKUP(H442,Escala!$A$2:$C$7,3,FALSE))</f>
      </c>
    </row>
    <row r="443" spans="1:10" x14ac:dyDescent="0.25">
      <c r="A443" s="12">
        <v>442</v>
      </c>
      <c r="B443" s="12" t="s">
        <v>1006</v>
      </c>
      <c r="C443" s="13" t="s">
        <v>1007</v>
      </c>
      <c r="D443" s="12" t="s">
        <v>1008</v>
      </c>
      <c r="E443" s="13" t="s">
        <v>1009</v>
      </c>
      <c r="F443" s="12" t="s">
        <v>1026</v>
      </c>
      <c r="G443" s="13" t="s">
        <v>1027</v>
      </c>
      <c r="H443" s="9"/>
      <c r="I443" s="10">
        <f>IF(H443="","",H443/5)</f>
      </c>
      <c r="J443" s="11">
        <f>IF(H443="","",VLOOKUP(H443,Escala!$A$2:$C$7,3,FALSE))</f>
      </c>
    </row>
    <row r="444" spans="1:10" x14ac:dyDescent="0.25">
      <c r="A444">
        <v>443</v>
      </c>
      <c r="B444" t="s">
        <v>1006</v>
      </c>
      <c r="C444" s="8" t="s">
        <v>1007</v>
      </c>
      <c r="D444" t="s">
        <v>1008</v>
      </c>
      <c r="E444" s="8" t="s">
        <v>1009</v>
      </c>
      <c r="F444" t="s">
        <v>1028</v>
      </c>
      <c r="G444" s="8" t="s">
        <v>1029</v>
      </c>
      <c r="H444" s="9"/>
      <c r="I444" s="10">
        <f>IF(H444="","",H444/5)</f>
      </c>
      <c r="J444" s="11">
        <f>IF(H444="","",VLOOKUP(H444,Escala!$A$2:$C$7,3,FALSE))</f>
      </c>
    </row>
    <row r="445" spans="1:10" x14ac:dyDescent="0.25">
      <c r="A445" s="12">
        <v>444</v>
      </c>
      <c r="B445" s="12" t="s">
        <v>1006</v>
      </c>
      <c r="C445" s="13" t="s">
        <v>1007</v>
      </c>
      <c r="D445" s="12" t="s">
        <v>1008</v>
      </c>
      <c r="E445" s="13" t="s">
        <v>1009</v>
      </c>
      <c r="F445" s="12" t="s">
        <v>1030</v>
      </c>
      <c r="G445" s="13" t="s">
        <v>1031</v>
      </c>
      <c r="H445" s="9"/>
      <c r="I445" s="10">
        <f>IF(H445="","",H445/5)</f>
      </c>
      <c r="J445" s="11">
        <f>IF(H445="","",VLOOKUP(H445,Escala!$A$2:$C$7,3,FALSE))</f>
      </c>
    </row>
    <row r="446" spans="1:10" x14ac:dyDescent="0.25">
      <c r="A446">
        <v>445</v>
      </c>
      <c r="B446" t="s">
        <v>1006</v>
      </c>
      <c r="C446" s="8" t="s">
        <v>1007</v>
      </c>
      <c r="D446" t="s">
        <v>1008</v>
      </c>
      <c r="E446" s="8" t="s">
        <v>1009</v>
      </c>
      <c r="F446" t="s">
        <v>1032</v>
      </c>
      <c r="G446" s="8" t="s">
        <v>1033</v>
      </c>
      <c r="H446" s="9"/>
      <c r="I446" s="10">
        <f>IF(H446="","",H446/5)</f>
      </c>
      <c r="J446" s="11">
        <f>IF(H446="","",VLOOKUP(H446,Escala!$A$2:$C$7,3,FALSE))</f>
      </c>
    </row>
    <row r="447" spans="1:10" x14ac:dyDescent="0.25">
      <c r="A447" s="12">
        <v>446</v>
      </c>
      <c r="B447" s="12" t="s">
        <v>1006</v>
      </c>
      <c r="C447" s="13" t="s">
        <v>1007</v>
      </c>
      <c r="D447" s="12" t="s">
        <v>1008</v>
      </c>
      <c r="E447" s="13" t="s">
        <v>1009</v>
      </c>
      <c r="F447" s="12" t="s">
        <v>1034</v>
      </c>
      <c r="G447" s="13" t="s">
        <v>1035</v>
      </c>
      <c r="H447" s="9"/>
      <c r="I447" s="10">
        <f>IF(H447="","",H447/5)</f>
      </c>
      <c r="J447" s="11">
        <f>IF(H447="","",VLOOKUP(H447,Escala!$A$2:$C$7,3,FALSE))</f>
      </c>
    </row>
    <row r="448" spans="1:10" x14ac:dyDescent="0.25">
      <c r="A448">
        <v>447</v>
      </c>
      <c r="B448" t="s">
        <v>1006</v>
      </c>
      <c r="C448" s="8" t="s">
        <v>1007</v>
      </c>
      <c r="D448" t="s">
        <v>1008</v>
      </c>
      <c r="E448" s="8" t="s">
        <v>1009</v>
      </c>
      <c r="F448" t="s">
        <v>1036</v>
      </c>
      <c r="G448" s="8" t="s">
        <v>1037</v>
      </c>
      <c r="H448" s="9"/>
      <c r="I448" s="10">
        <f>IF(H448="","",H448/5)</f>
      </c>
      <c r="J448" s="11">
        <f>IF(H448="","",VLOOKUP(H448,Escala!$A$2:$C$7,3,FALSE))</f>
      </c>
    </row>
    <row r="449" spans="1:10" x14ac:dyDescent="0.25">
      <c r="A449" s="12">
        <v>448</v>
      </c>
      <c r="B449" s="12" t="s">
        <v>1006</v>
      </c>
      <c r="C449" s="13" t="s">
        <v>1007</v>
      </c>
      <c r="D449" s="12" t="s">
        <v>1008</v>
      </c>
      <c r="E449" s="13" t="s">
        <v>1009</v>
      </c>
      <c r="F449" s="12" t="s">
        <v>1038</v>
      </c>
      <c r="G449" s="13" t="s">
        <v>1039</v>
      </c>
      <c r="H449" s="9"/>
      <c r="I449" s="10">
        <f>IF(H449="","",H449/5)</f>
      </c>
      <c r="J449" s="11">
        <f>IF(H449="","",VLOOKUP(H449,Escala!$A$2:$C$7,3,FALSE))</f>
      </c>
    </row>
    <row r="450" spans="1:10" x14ac:dyDescent="0.25">
      <c r="A450">
        <v>449</v>
      </c>
      <c r="B450" t="s">
        <v>1006</v>
      </c>
      <c r="C450" s="8" t="s">
        <v>1007</v>
      </c>
      <c r="D450" t="s">
        <v>1008</v>
      </c>
      <c r="E450" s="8" t="s">
        <v>1009</v>
      </c>
      <c r="F450" t="s">
        <v>1040</v>
      </c>
      <c r="G450" s="8" t="s">
        <v>1041</v>
      </c>
      <c r="H450" s="9"/>
      <c r="I450" s="10">
        <f>IF(H450="","",H450/5)</f>
      </c>
      <c r="J450" s="11">
        <f>IF(H450="","",VLOOKUP(H450,Escala!$A$2:$C$7,3,FALSE))</f>
      </c>
    </row>
    <row r="451" spans="1:10" x14ac:dyDescent="0.25">
      <c r="A451" s="12">
        <v>450</v>
      </c>
      <c r="B451" s="12" t="s">
        <v>1006</v>
      </c>
      <c r="C451" s="13" t="s">
        <v>1007</v>
      </c>
      <c r="D451" s="12" t="s">
        <v>1008</v>
      </c>
      <c r="E451" s="13" t="s">
        <v>1009</v>
      </c>
      <c r="F451" s="12" t="s">
        <v>1042</v>
      </c>
      <c r="G451" s="13" t="s">
        <v>1043</v>
      </c>
      <c r="H451" s="9"/>
      <c r="I451" s="10">
        <f>IF(H451="","",H451/5)</f>
      </c>
      <c r="J451" s="11">
        <f>IF(H451="","",VLOOKUP(H451,Escala!$A$2:$C$7,3,FALSE))</f>
      </c>
    </row>
    <row r="452" spans="1:10" x14ac:dyDescent="0.25">
      <c r="A452">
        <v>451</v>
      </c>
      <c r="B452" t="s">
        <v>1006</v>
      </c>
      <c r="C452" s="8" t="s">
        <v>1007</v>
      </c>
      <c r="D452" t="s">
        <v>1008</v>
      </c>
      <c r="E452" s="8" t="s">
        <v>1009</v>
      </c>
      <c r="F452" t="s">
        <v>1044</v>
      </c>
      <c r="G452" s="8" t="s">
        <v>1045</v>
      </c>
      <c r="H452" s="9"/>
      <c r="I452" s="10">
        <f>IF(H452="","",H452/5)</f>
      </c>
      <c r="J452" s="11">
        <f>IF(H452="","",VLOOKUP(H452,Escala!$A$2:$C$7,3,FALSE))</f>
      </c>
    </row>
    <row r="453" spans="1:10" x14ac:dyDescent="0.25">
      <c r="A453" s="12">
        <v>452</v>
      </c>
      <c r="B453" s="12" t="s">
        <v>1006</v>
      </c>
      <c r="C453" s="13" t="s">
        <v>1007</v>
      </c>
      <c r="D453" s="12" t="s">
        <v>1046</v>
      </c>
      <c r="E453" s="13" t="s">
        <v>1047</v>
      </c>
      <c r="F453" s="12" t="s">
        <v>1048</v>
      </c>
      <c r="G453" s="13" t="s">
        <v>1049</v>
      </c>
      <c r="H453" s="9"/>
      <c r="I453" s="10">
        <f>IF(H453="","",H453/5)</f>
      </c>
      <c r="J453" s="11">
        <f>IF(H453="","",VLOOKUP(H453,Escala!$A$2:$C$7,3,FALSE))</f>
      </c>
    </row>
    <row r="454" spans="1:10" x14ac:dyDescent="0.25">
      <c r="A454">
        <v>453</v>
      </c>
      <c r="B454" t="s">
        <v>1006</v>
      </c>
      <c r="C454" s="8" t="s">
        <v>1007</v>
      </c>
      <c r="D454" t="s">
        <v>1046</v>
      </c>
      <c r="E454" s="8" t="s">
        <v>1047</v>
      </c>
      <c r="F454" t="s">
        <v>1050</v>
      </c>
      <c r="G454" s="8" t="s">
        <v>1051</v>
      </c>
      <c r="H454" s="9"/>
      <c r="I454" s="10">
        <f>IF(H454="","",H454/5)</f>
      </c>
      <c r="J454" s="11">
        <f>IF(H454="","",VLOOKUP(H454,Escala!$A$2:$C$7,3,FALSE))</f>
      </c>
    </row>
    <row r="455" spans="1:10" x14ac:dyDescent="0.25">
      <c r="A455" s="12">
        <v>454</v>
      </c>
      <c r="B455" s="12" t="s">
        <v>1006</v>
      </c>
      <c r="C455" s="13" t="s">
        <v>1007</v>
      </c>
      <c r="D455" s="12" t="s">
        <v>1046</v>
      </c>
      <c r="E455" s="13" t="s">
        <v>1047</v>
      </c>
      <c r="F455" s="12" t="s">
        <v>1052</v>
      </c>
      <c r="G455" s="13" t="s">
        <v>1053</v>
      </c>
      <c r="H455" s="9"/>
      <c r="I455" s="10">
        <f>IF(H455="","",H455/5)</f>
      </c>
      <c r="J455" s="11">
        <f>IF(H455="","",VLOOKUP(H455,Escala!$A$2:$C$7,3,FALSE))</f>
      </c>
    </row>
    <row r="456" spans="1:10" x14ac:dyDescent="0.25">
      <c r="A456">
        <v>455</v>
      </c>
      <c r="B456" t="s">
        <v>1006</v>
      </c>
      <c r="C456" s="8" t="s">
        <v>1007</v>
      </c>
      <c r="D456" t="s">
        <v>1046</v>
      </c>
      <c r="E456" s="8" t="s">
        <v>1047</v>
      </c>
      <c r="F456" t="s">
        <v>1054</v>
      </c>
      <c r="G456" s="8" t="s">
        <v>1055</v>
      </c>
      <c r="H456" s="9"/>
      <c r="I456" s="10">
        <f>IF(H456="","",H456/5)</f>
      </c>
      <c r="J456" s="11">
        <f>IF(H456="","",VLOOKUP(H456,Escala!$A$2:$C$7,3,FALSE))</f>
      </c>
    </row>
    <row r="457" spans="1:10" x14ac:dyDescent="0.25">
      <c r="A457" s="12">
        <v>456</v>
      </c>
      <c r="B457" s="12" t="s">
        <v>1006</v>
      </c>
      <c r="C457" s="13" t="s">
        <v>1007</v>
      </c>
      <c r="D457" s="12" t="s">
        <v>1046</v>
      </c>
      <c r="E457" s="13" t="s">
        <v>1047</v>
      </c>
      <c r="F457" s="12" t="s">
        <v>1056</v>
      </c>
      <c r="G457" s="13" t="s">
        <v>1057</v>
      </c>
      <c r="H457" s="9"/>
      <c r="I457" s="10">
        <f>IF(H457="","",H457/5)</f>
      </c>
      <c r="J457" s="11">
        <f>IF(H457="","",VLOOKUP(H457,Escala!$A$2:$C$7,3,FALSE))</f>
      </c>
    </row>
    <row r="458" spans="1:10" x14ac:dyDescent="0.25">
      <c r="A458">
        <v>457</v>
      </c>
      <c r="B458" t="s">
        <v>1006</v>
      </c>
      <c r="C458" s="8" t="s">
        <v>1007</v>
      </c>
      <c r="D458" t="s">
        <v>1046</v>
      </c>
      <c r="E458" s="8" t="s">
        <v>1047</v>
      </c>
      <c r="F458" t="s">
        <v>1058</v>
      </c>
      <c r="G458" s="8" t="s">
        <v>1059</v>
      </c>
      <c r="H458" s="9"/>
      <c r="I458" s="10">
        <f>IF(H458="","",H458/5)</f>
      </c>
      <c r="J458" s="11">
        <f>IF(H458="","",VLOOKUP(H458,Escala!$A$2:$C$7,3,FALSE))</f>
      </c>
    </row>
    <row r="459" spans="1:10" x14ac:dyDescent="0.25">
      <c r="A459" s="12">
        <v>458</v>
      </c>
      <c r="B459" s="12" t="s">
        <v>1006</v>
      </c>
      <c r="C459" s="13" t="s">
        <v>1007</v>
      </c>
      <c r="D459" s="12" t="s">
        <v>1046</v>
      </c>
      <c r="E459" s="13" t="s">
        <v>1047</v>
      </c>
      <c r="F459" s="12" t="s">
        <v>1060</v>
      </c>
      <c r="G459" s="13" t="s">
        <v>1061</v>
      </c>
      <c r="H459" s="9"/>
      <c r="I459" s="10">
        <f>IF(H459="","",H459/5)</f>
      </c>
      <c r="J459" s="11">
        <f>IF(H459="","",VLOOKUP(H459,Escala!$A$2:$C$7,3,FALSE))</f>
      </c>
    </row>
    <row r="460" spans="1:10" x14ac:dyDescent="0.25">
      <c r="A460">
        <v>459</v>
      </c>
      <c r="B460" t="s">
        <v>1006</v>
      </c>
      <c r="C460" s="8" t="s">
        <v>1007</v>
      </c>
      <c r="D460" t="s">
        <v>1046</v>
      </c>
      <c r="E460" s="8" t="s">
        <v>1047</v>
      </c>
      <c r="F460" t="s">
        <v>1062</v>
      </c>
      <c r="G460" s="8" t="s">
        <v>1063</v>
      </c>
      <c r="H460" s="9"/>
      <c r="I460" s="10">
        <f>IF(H460="","",H460/5)</f>
      </c>
      <c r="J460" s="11">
        <f>IF(H460="","",VLOOKUP(H460,Escala!$A$2:$C$7,3,FALSE))</f>
      </c>
    </row>
    <row r="461" spans="1:10" x14ac:dyDescent="0.25">
      <c r="A461" s="12">
        <v>460</v>
      </c>
      <c r="B461" s="12" t="s">
        <v>1006</v>
      </c>
      <c r="C461" s="13" t="s">
        <v>1007</v>
      </c>
      <c r="D461" s="12" t="s">
        <v>1046</v>
      </c>
      <c r="E461" s="13" t="s">
        <v>1047</v>
      </c>
      <c r="F461" s="12" t="s">
        <v>1064</v>
      </c>
      <c r="G461" s="13" t="s">
        <v>1065</v>
      </c>
      <c r="H461" s="9"/>
      <c r="I461" s="10">
        <f>IF(H461="","",H461/5)</f>
      </c>
      <c r="J461" s="11">
        <f>IF(H461="","",VLOOKUP(H461,Escala!$A$2:$C$7,3,FALSE))</f>
      </c>
    </row>
    <row r="462" spans="1:10" x14ac:dyDescent="0.25">
      <c r="A462">
        <v>461</v>
      </c>
      <c r="B462" t="s">
        <v>1006</v>
      </c>
      <c r="C462" s="8" t="s">
        <v>1007</v>
      </c>
      <c r="D462" t="s">
        <v>1046</v>
      </c>
      <c r="E462" s="8" t="s">
        <v>1047</v>
      </c>
      <c r="F462" t="s">
        <v>1066</v>
      </c>
      <c r="G462" s="8" t="s">
        <v>1067</v>
      </c>
      <c r="H462" s="9"/>
      <c r="I462" s="10">
        <f>IF(H462="","",H462/5)</f>
      </c>
      <c r="J462" s="11">
        <f>IF(H462="","",VLOOKUP(H462,Escala!$A$2:$C$7,3,FALSE))</f>
      </c>
    </row>
    <row r="463" spans="1:10" x14ac:dyDescent="0.25">
      <c r="A463" s="12">
        <v>462</v>
      </c>
      <c r="B463" s="12" t="s">
        <v>1006</v>
      </c>
      <c r="C463" s="13" t="s">
        <v>1007</v>
      </c>
      <c r="D463" s="12" t="s">
        <v>1046</v>
      </c>
      <c r="E463" s="13" t="s">
        <v>1047</v>
      </c>
      <c r="F463" s="12" t="s">
        <v>1068</v>
      </c>
      <c r="G463" s="13" t="s">
        <v>1069</v>
      </c>
      <c r="H463" s="9"/>
      <c r="I463" s="10">
        <f>IF(H463="","",H463/5)</f>
      </c>
      <c r="J463" s="11">
        <f>IF(H463="","",VLOOKUP(H463,Escala!$A$2:$C$7,3,FALSE))</f>
      </c>
    </row>
    <row r="464" spans="1:10" x14ac:dyDescent="0.25">
      <c r="A464">
        <v>463</v>
      </c>
      <c r="B464" t="s">
        <v>1006</v>
      </c>
      <c r="C464" s="8" t="s">
        <v>1007</v>
      </c>
      <c r="D464" t="s">
        <v>1070</v>
      </c>
      <c r="E464" s="8" t="s">
        <v>1071</v>
      </c>
      <c r="F464" t="s">
        <v>1072</v>
      </c>
      <c r="G464" s="8" t="s">
        <v>1073</v>
      </c>
      <c r="H464" s="9"/>
      <c r="I464" s="10">
        <f>IF(H464="","",H464/5)</f>
      </c>
      <c r="J464" s="11">
        <f>IF(H464="","",VLOOKUP(H464,Escala!$A$2:$C$7,3,FALSE))</f>
      </c>
    </row>
    <row r="465" spans="1:10" x14ac:dyDescent="0.25">
      <c r="A465" s="12">
        <v>464</v>
      </c>
      <c r="B465" s="12" t="s">
        <v>1006</v>
      </c>
      <c r="C465" s="13" t="s">
        <v>1007</v>
      </c>
      <c r="D465" s="12" t="s">
        <v>1070</v>
      </c>
      <c r="E465" s="13" t="s">
        <v>1071</v>
      </c>
      <c r="F465" s="12" t="s">
        <v>1074</v>
      </c>
      <c r="G465" s="13" t="s">
        <v>1075</v>
      </c>
      <c r="H465" s="9"/>
      <c r="I465" s="10">
        <f>IF(H465="","",H465/5)</f>
      </c>
      <c r="J465" s="11">
        <f>IF(H465="","",VLOOKUP(H465,Escala!$A$2:$C$7,3,FALSE))</f>
      </c>
    </row>
    <row r="466" spans="1:10" x14ac:dyDescent="0.25">
      <c r="A466">
        <v>465</v>
      </c>
      <c r="B466" t="s">
        <v>1006</v>
      </c>
      <c r="C466" s="8" t="s">
        <v>1007</v>
      </c>
      <c r="D466" t="s">
        <v>1070</v>
      </c>
      <c r="E466" s="8" t="s">
        <v>1071</v>
      </c>
      <c r="F466" t="s">
        <v>1076</v>
      </c>
      <c r="G466" s="8" t="s">
        <v>1077</v>
      </c>
      <c r="H466" s="9"/>
      <c r="I466" s="10">
        <f>IF(H466="","",H466/5)</f>
      </c>
      <c r="J466" s="11">
        <f>IF(H466="","",VLOOKUP(H466,Escala!$A$2:$C$7,3,FALSE))</f>
      </c>
    </row>
    <row r="467" spans="1:10" x14ac:dyDescent="0.25">
      <c r="A467" s="12">
        <v>466</v>
      </c>
      <c r="B467" s="12" t="s">
        <v>1006</v>
      </c>
      <c r="C467" s="13" t="s">
        <v>1007</v>
      </c>
      <c r="D467" s="12" t="s">
        <v>1070</v>
      </c>
      <c r="E467" s="13" t="s">
        <v>1071</v>
      </c>
      <c r="F467" s="12" t="s">
        <v>1078</v>
      </c>
      <c r="G467" s="13" t="s">
        <v>1079</v>
      </c>
      <c r="H467" s="9"/>
      <c r="I467" s="10">
        <f>IF(H467="","",H467/5)</f>
      </c>
      <c r="J467" s="11">
        <f>IF(H467="","",VLOOKUP(H467,Escala!$A$2:$C$7,3,FALSE))</f>
      </c>
    </row>
    <row r="468" spans="1:10" x14ac:dyDescent="0.25">
      <c r="A468">
        <v>467</v>
      </c>
      <c r="B468" t="s">
        <v>1006</v>
      </c>
      <c r="C468" s="8" t="s">
        <v>1007</v>
      </c>
      <c r="D468" t="s">
        <v>1070</v>
      </c>
      <c r="E468" s="8" t="s">
        <v>1071</v>
      </c>
      <c r="F468" t="s">
        <v>1080</v>
      </c>
      <c r="G468" s="8" t="s">
        <v>1081</v>
      </c>
      <c r="H468" s="9"/>
      <c r="I468" s="10">
        <f>IF(H468="","",H468/5)</f>
      </c>
      <c r="J468" s="11">
        <f>IF(H468="","",VLOOKUP(H468,Escala!$A$2:$C$7,3,FALSE))</f>
      </c>
    </row>
    <row r="469" spans="1:10" x14ac:dyDescent="0.25">
      <c r="A469" s="12">
        <v>468</v>
      </c>
      <c r="B469" s="12" t="s">
        <v>1006</v>
      </c>
      <c r="C469" s="13" t="s">
        <v>1007</v>
      </c>
      <c r="D469" s="12" t="s">
        <v>1070</v>
      </c>
      <c r="E469" s="13" t="s">
        <v>1071</v>
      </c>
      <c r="F469" s="12" t="s">
        <v>1082</v>
      </c>
      <c r="G469" s="13" t="s">
        <v>1083</v>
      </c>
      <c r="H469" s="9"/>
      <c r="I469" s="10">
        <f>IF(H469="","",H469/5)</f>
      </c>
      <c r="J469" s="11">
        <f>IF(H469="","",VLOOKUP(H469,Escala!$A$2:$C$7,3,FALSE))</f>
      </c>
    </row>
    <row r="470" spans="1:10" x14ac:dyDescent="0.25">
      <c r="A470">
        <v>469</v>
      </c>
      <c r="B470" t="s">
        <v>1006</v>
      </c>
      <c r="C470" s="8" t="s">
        <v>1007</v>
      </c>
      <c r="D470" t="s">
        <v>1070</v>
      </c>
      <c r="E470" s="8" t="s">
        <v>1071</v>
      </c>
      <c r="F470" t="s">
        <v>1084</v>
      </c>
      <c r="G470" s="8" t="s">
        <v>1085</v>
      </c>
      <c r="H470" s="9"/>
      <c r="I470" s="10">
        <f>IF(H470="","",H470/5)</f>
      </c>
      <c r="J470" s="11">
        <f>IF(H470="","",VLOOKUP(H470,Escala!$A$2:$C$7,3,FALSE))</f>
      </c>
    </row>
    <row r="471" spans="1:10" x14ac:dyDescent="0.25">
      <c r="A471" s="12">
        <v>470</v>
      </c>
      <c r="B471" s="12" t="s">
        <v>1006</v>
      </c>
      <c r="C471" s="13" t="s">
        <v>1007</v>
      </c>
      <c r="D471" s="12" t="s">
        <v>1070</v>
      </c>
      <c r="E471" s="13" t="s">
        <v>1071</v>
      </c>
      <c r="F471" s="12" t="s">
        <v>1086</v>
      </c>
      <c r="G471" s="13" t="s">
        <v>1087</v>
      </c>
      <c r="H471" s="9"/>
      <c r="I471" s="10">
        <f>IF(H471="","",H471/5)</f>
      </c>
      <c r="J471" s="11">
        <f>IF(H471="","",VLOOKUP(H471,Escala!$A$2:$C$7,3,FALSE))</f>
      </c>
    </row>
    <row r="472" spans="1:10" x14ac:dyDescent="0.25">
      <c r="A472">
        <v>471</v>
      </c>
      <c r="B472" t="s">
        <v>1006</v>
      </c>
      <c r="C472" s="8" t="s">
        <v>1007</v>
      </c>
      <c r="D472" t="s">
        <v>1070</v>
      </c>
      <c r="E472" s="8" t="s">
        <v>1071</v>
      </c>
      <c r="F472" t="s">
        <v>1088</v>
      </c>
      <c r="G472" s="8" t="s">
        <v>1089</v>
      </c>
      <c r="H472" s="9"/>
      <c r="I472" s="10">
        <f>IF(H472="","",H472/5)</f>
      </c>
      <c r="J472" s="11">
        <f>IF(H472="","",VLOOKUP(H472,Escala!$A$2:$C$7,3,FALSE))</f>
      </c>
    </row>
    <row r="473" spans="1:10" x14ac:dyDescent="0.25">
      <c r="A473" s="12">
        <v>472</v>
      </c>
      <c r="B473" s="12" t="s">
        <v>1006</v>
      </c>
      <c r="C473" s="13" t="s">
        <v>1007</v>
      </c>
      <c r="D473" s="12" t="s">
        <v>1070</v>
      </c>
      <c r="E473" s="13" t="s">
        <v>1071</v>
      </c>
      <c r="F473" s="12" t="s">
        <v>1090</v>
      </c>
      <c r="G473" s="13" t="s">
        <v>1091</v>
      </c>
      <c r="H473" s="9"/>
      <c r="I473" s="10">
        <f>IF(H473="","",H473/5)</f>
      </c>
      <c r="J473" s="11">
        <f>IF(H473="","",VLOOKUP(H473,Escala!$A$2:$C$7,3,FALSE))</f>
      </c>
    </row>
    <row r="474" spans="1:10" x14ac:dyDescent="0.25">
      <c r="A474">
        <v>473</v>
      </c>
      <c r="B474" t="s">
        <v>1006</v>
      </c>
      <c r="C474" s="8" t="s">
        <v>1007</v>
      </c>
      <c r="D474" t="s">
        <v>1070</v>
      </c>
      <c r="E474" s="8" t="s">
        <v>1071</v>
      </c>
      <c r="F474" t="s">
        <v>1092</v>
      </c>
      <c r="G474" s="8" t="s">
        <v>1093</v>
      </c>
      <c r="H474" s="9"/>
      <c r="I474" s="10">
        <f>IF(H474="","",H474/5)</f>
      </c>
      <c r="J474" s="11">
        <f>IF(H474="","",VLOOKUP(H474,Escala!$A$2:$C$7,3,FALSE))</f>
      </c>
    </row>
    <row r="475" spans="1:10" x14ac:dyDescent="0.25">
      <c r="A475" s="12">
        <v>474</v>
      </c>
      <c r="B475" s="12" t="s">
        <v>1006</v>
      </c>
      <c r="C475" s="13" t="s">
        <v>1007</v>
      </c>
      <c r="D475" s="12" t="s">
        <v>1070</v>
      </c>
      <c r="E475" s="13" t="s">
        <v>1071</v>
      </c>
      <c r="F475" s="12" t="s">
        <v>1094</v>
      </c>
      <c r="G475" s="13" t="s">
        <v>1095</v>
      </c>
      <c r="H475" s="9"/>
      <c r="I475" s="10">
        <f>IF(H475="","",H475/5)</f>
      </c>
      <c r="J475" s="11">
        <f>IF(H475="","",VLOOKUP(H475,Escala!$A$2:$C$7,3,FALSE))</f>
      </c>
    </row>
    <row r="476" spans="1:10" x14ac:dyDescent="0.25">
      <c r="A476">
        <v>475</v>
      </c>
      <c r="B476" t="s">
        <v>1006</v>
      </c>
      <c r="C476" s="8" t="s">
        <v>1007</v>
      </c>
      <c r="D476" t="s">
        <v>1096</v>
      </c>
      <c r="E476" s="8" t="s">
        <v>1097</v>
      </c>
      <c r="F476" t="s">
        <v>1098</v>
      </c>
      <c r="G476" s="8" t="s">
        <v>1099</v>
      </c>
      <c r="H476" s="9"/>
      <c r="I476" s="10">
        <f>IF(H476="","",H476/5)</f>
      </c>
      <c r="J476" s="11">
        <f>IF(H476="","",VLOOKUP(H476,Escala!$A$2:$C$7,3,FALSE))</f>
      </c>
    </row>
    <row r="477" spans="1:10" x14ac:dyDescent="0.25">
      <c r="A477" s="12">
        <v>476</v>
      </c>
      <c r="B477" s="12" t="s">
        <v>1006</v>
      </c>
      <c r="C477" s="13" t="s">
        <v>1007</v>
      </c>
      <c r="D477" s="12" t="s">
        <v>1096</v>
      </c>
      <c r="E477" s="13" t="s">
        <v>1097</v>
      </c>
      <c r="F477" s="12" t="s">
        <v>1100</v>
      </c>
      <c r="G477" s="13" t="s">
        <v>1101</v>
      </c>
      <c r="H477" s="9"/>
      <c r="I477" s="10">
        <f>IF(H477="","",H477/5)</f>
      </c>
      <c r="J477" s="11">
        <f>IF(H477="","",VLOOKUP(H477,Escala!$A$2:$C$7,3,FALSE))</f>
      </c>
    </row>
    <row r="478" spans="1:10" x14ac:dyDescent="0.25">
      <c r="A478">
        <v>477</v>
      </c>
      <c r="B478" t="s">
        <v>1006</v>
      </c>
      <c r="C478" s="8" t="s">
        <v>1007</v>
      </c>
      <c r="D478" t="s">
        <v>1096</v>
      </c>
      <c r="E478" s="8" t="s">
        <v>1097</v>
      </c>
      <c r="F478" t="s">
        <v>1102</v>
      </c>
      <c r="G478" s="8" t="s">
        <v>1103</v>
      </c>
      <c r="H478" s="9"/>
      <c r="I478" s="10">
        <f>IF(H478="","",H478/5)</f>
      </c>
      <c r="J478" s="11">
        <f>IF(H478="","",VLOOKUP(H478,Escala!$A$2:$C$7,3,FALSE))</f>
      </c>
    </row>
    <row r="479" spans="1:10" x14ac:dyDescent="0.25">
      <c r="A479" s="12">
        <v>478</v>
      </c>
      <c r="B479" s="12" t="s">
        <v>1006</v>
      </c>
      <c r="C479" s="13" t="s">
        <v>1007</v>
      </c>
      <c r="D479" s="12" t="s">
        <v>1096</v>
      </c>
      <c r="E479" s="13" t="s">
        <v>1097</v>
      </c>
      <c r="F479" s="12" t="s">
        <v>1104</v>
      </c>
      <c r="G479" s="13" t="s">
        <v>1105</v>
      </c>
      <c r="H479" s="9"/>
      <c r="I479" s="10">
        <f>IF(H479="","",H479/5)</f>
      </c>
      <c r="J479" s="11">
        <f>IF(H479="","",VLOOKUP(H479,Escala!$A$2:$C$7,3,FALSE))</f>
      </c>
    </row>
    <row r="480" spans="1:10" x14ac:dyDescent="0.25">
      <c r="A480">
        <v>479</v>
      </c>
      <c r="B480" t="s">
        <v>1006</v>
      </c>
      <c r="C480" s="8" t="s">
        <v>1007</v>
      </c>
      <c r="D480" t="s">
        <v>1096</v>
      </c>
      <c r="E480" s="8" t="s">
        <v>1097</v>
      </c>
      <c r="F480" t="s">
        <v>1106</v>
      </c>
      <c r="G480" s="8" t="s">
        <v>1107</v>
      </c>
      <c r="H480" s="9"/>
      <c r="I480" s="10">
        <f>IF(H480="","",H480/5)</f>
      </c>
      <c r="J480" s="11">
        <f>IF(H480="","",VLOOKUP(H480,Escala!$A$2:$C$7,3,FALSE))</f>
      </c>
    </row>
    <row r="481" spans="1:10" x14ac:dyDescent="0.25">
      <c r="A481" s="12">
        <v>480</v>
      </c>
      <c r="B481" s="12" t="s">
        <v>1006</v>
      </c>
      <c r="C481" s="13" t="s">
        <v>1007</v>
      </c>
      <c r="D481" s="12" t="s">
        <v>1096</v>
      </c>
      <c r="E481" s="13" t="s">
        <v>1097</v>
      </c>
      <c r="F481" s="12" t="s">
        <v>1108</v>
      </c>
      <c r="G481" s="13" t="s">
        <v>1109</v>
      </c>
      <c r="H481" s="9"/>
      <c r="I481" s="10">
        <f>IF(H481="","",H481/5)</f>
      </c>
      <c r="J481" s="11">
        <f>IF(H481="","",VLOOKUP(H481,Escala!$A$2:$C$7,3,FALSE))</f>
      </c>
    </row>
    <row r="482" spans="1:10" x14ac:dyDescent="0.25">
      <c r="A482">
        <v>481</v>
      </c>
      <c r="B482" t="s">
        <v>1006</v>
      </c>
      <c r="C482" s="8" t="s">
        <v>1007</v>
      </c>
      <c r="D482" t="s">
        <v>1096</v>
      </c>
      <c r="E482" s="8" t="s">
        <v>1097</v>
      </c>
      <c r="F482" t="s">
        <v>1110</v>
      </c>
      <c r="G482" s="8" t="s">
        <v>1111</v>
      </c>
      <c r="H482" s="9"/>
      <c r="I482" s="10">
        <f>IF(H482="","",H482/5)</f>
      </c>
      <c r="J482" s="11">
        <f>IF(H482="","",VLOOKUP(H482,Escala!$A$2:$C$7,3,FALSE))</f>
      </c>
    </row>
    <row r="483" spans="1:10" x14ac:dyDescent="0.25">
      <c r="A483" s="12">
        <v>482</v>
      </c>
      <c r="B483" s="12" t="s">
        <v>1006</v>
      </c>
      <c r="C483" s="13" t="s">
        <v>1007</v>
      </c>
      <c r="D483" s="12" t="s">
        <v>1096</v>
      </c>
      <c r="E483" s="13" t="s">
        <v>1097</v>
      </c>
      <c r="F483" s="12" t="s">
        <v>1112</v>
      </c>
      <c r="G483" s="13" t="s">
        <v>1113</v>
      </c>
      <c r="H483" s="9"/>
      <c r="I483" s="10">
        <f>IF(H483="","",H483/5)</f>
      </c>
      <c r="J483" s="11">
        <f>IF(H483="","",VLOOKUP(H483,Escala!$A$2:$C$7,3,FALSE))</f>
      </c>
    </row>
    <row r="484" spans="1:10" x14ac:dyDescent="0.25">
      <c r="A484">
        <v>483</v>
      </c>
      <c r="B484" t="s">
        <v>1006</v>
      </c>
      <c r="C484" s="8" t="s">
        <v>1007</v>
      </c>
      <c r="D484" t="s">
        <v>1096</v>
      </c>
      <c r="E484" s="8" t="s">
        <v>1097</v>
      </c>
      <c r="F484" t="s">
        <v>1114</v>
      </c>
      <c r="G484" s="8" t="s">
        <v>1115</v>
      </c>
      <c r="H484" s="9"/>
      <c r="I484" s="10">
        <f>IF(H484="","",H484/5)</f>
      </c>
      <c r="J484" s="11">
        <f>IF(H484="","",VLOOKUP(H484,Escala!$A$2:$C$7,3,FALSE))</f>
      </c>
    </row>
    <row r="485" spans="1:10" x14ac:dyDescent="0.25">
      <c r="A485" s="12">
        <v>484</v>
      </c>
      <c r="B485" s="12" t="s">
        <v>1006</v>
      </c>
      <c r="C485" s="13" t="s">
        <v>1007</v>
      </c>
      <c r="D485" s="12" t="s">
        <v>1096</v>
      </c>
      <c r="E485" s="13" t="s">
        <v>1097</v>
      </c>
      <c r="F485" s="12" t="s">
        <v>1116</v>
      </c>
      <c r="G485" s="13" t="s">
        <v>1117</v>
      </c>
      <c r="H485" s="9"/>
      <c r="I485" s="10">
        <f>IF(H485="","",H485/5)</f>
      </c>
      <c r="J485" s="11">
        <f>IF(H485="","",VLOOKUP(H485,Escala!$A$2:$C$7,3,FALSE))</f>
      </c>
    </row>
    <row r="486" spans="1:10" x14ac:dyDescent="0.25">
      <c r="A486">
        <v>485</v>
      </c>
      <c r="B486" t="s">
        <v>1006</v>
      </c>
      <c r="C486" s="8" t="s">
        <v>1007</v>
      </c>
      <c r="D486" t="s">
        <v>1096</v>
      </c>
      <c r="E486" s="8" t="s">
        <v>1097</v>
      </c>
      <c r="F486" t="s">
        <v>1118</v>
      </c>
      <c r="G486" s="8" t="s">
        <v>1119</v>
      </c>
      <c r="H486" s="9"/>
      <c r="I486" s="10">
        <f>IF(H486="","",H486/5)</f>
      </c>
      <c r="J486" s="11">
        <f>IF(H486="","",VLOOKUP(H486,Escala!$A$2:$C$7,3,FALSE))</f>
      </c>
    </row>
    <row r="487" spans="1:10" x14ac:dyDescent="0.25">
      <c r="A487" s="12">
        <v>486</v>
      </c>
      <c r="B487" s="12" t="s">
        <v>1006</v>
      </c>
      <c r="C487" s="13" t="s">
        <v>1007</v>
      </c>
      <c r="D487" s="12" t="s">
        <v>1096</v>
      </c>
      <c r="E487" s="13" t="s">
        <v>1097</v>
      </c>
      <c r="F487" s="12" t="s">
        <v>1120</v>
      </c>
      <c r="G487" s="13" t="s">
        <v>1121</v>
      </c>
      <c r="H487" s="9"/>
      <c r="I487" s="10">
        <f>IF(H487="","",H487/5)</f>
      </c>
      <c r="J487" s="11">
        <f>IF(H487="","",VLOOKUP(H487,Escala!$A$2:$C$7,3,FALSE))</f>
      </c>
    </row>
    <row r="488" spans="1:10" x14ac:dyDescent="0.25">
      <c r="A488">
        <v>487</v>
      </c>
      <c r="B488" t="s">
        <v>1006</v>
      </c>
      <c r="C488" s="8" t="s">
        <v>1007</v>
      </c>
      <c r="D488" t="s">
        <v>1096</v>
      </c>
      <c r="E488" s="8" t="s">
        <v>1097</v>
      </c>
      <c r="F488" t="s">
        <v>1122</v>
      </c>
      <c r="G488" s="8" t="s">
        <v>1123</v>
      </c>
      <c r="H488" s="9"/>
      <c r="I488" s="10">
        <f>IF(H488="","",H488/5)</f>
      </c>
      <c r="J488" s="11">
        <f>IF(H488="","",VLOOKUP(H488,Escala!$A$2:$C$7,3,FALSE))</f>
      </c>
    </row>
    <row r="489" spans="1:10" x14ac:dyDescent="0.25">
      <c r="A489" s="12">
        <v>488</v>
      </c>
      <c r="B489" s="12" t="s">
        <v>1006</v>
      </c>
      <c r="C489" s="13" t="s">
        <v>1007</v>
      </c>
      <c r="D489" s="12" t="s">
        <v>1096</v>
      </c>
      <c r="E489" s="13" t="s">
        <v>1097</v>
      </c>
      <c r="F489" s="12" t="s">
        <v>1124</v>
      </c>
      <c r="G489" s="13" t="s">
        <v>1125</v>
      </c>
      <c r="H489" s="9"/>
      <c r="I489" s="10">
        <f>IF(H489="","",H489/5)</f>
      </c>
      <c r="J489" s="11">
        <f>IF(H489="","",VLOOKUP(H489,Escala!$A$2:$C$7,3,FALSE))</f>
      </c>
    </row>
    <row r="490" spans="1:10" x14ac:dyDescent="0.25">
      <c r="A490">
        <v>489</v>
      </c>
      <c r="B490" t="s">
        <v>1006</v>
      </c>
      <c r="C490" s="8" t="s">
        <v>1007</v>
      </c>
      <c r="D490" t="s">
        <v>1096</v>
      </c>
      <c r="E490" s="8" t="s">
        <v>1097</v>
      </c>
      <c r="F490" t="s">
        <v>1126</v>
      </c>
      <c r="G490" s="8" t="s">
        <v>1127</v>
      </c>
      <c r="H490" s="9"/>
      <c r="I490" s="10">
        <f>IF(H490="","",H490/5)</f>
      </c>
      <c r="J490" s="11">
        <f>IF(H490="","",VLOOKUP(H490,Escala!$A$2:$C$7,3,FALSE))</f>
      </c>
    </row>
    <row r="491" spans="1:10" x14ac:dyDescent="0.25">
      <c r="A491" s="12">
        <v>490</v>
      </c>
      <c r="B491" s="12" t="s">
        <v>1006</v>
      </c>
      <c r="C491" s="13" t="s">
        <v>1007</v>
      </c>
      <c r="D491" s="12" t="s">
        <v>1096</v>
      </c>
      <c r="E491" s="13" t="s">
        <v>1097</v>
      </c>
      <c r="F491" s="12" t="s">
        <v>1128</v>
      </c>
      <c r="G491" s="13" t="s">
        <v>1129</v>
      </c>
      <c r="H491" s="9"/>
      <c r="I491" s="10">
        <f>IF(H491="","",H491/5)</f>
      </c>
      <c r="J491" s="11">
        <f>IF(H491="","",VLOOKUP(H491,Escala!$A$2:$C$7,3,FALSE))</f>
      </c>
    </row>
    <row r="492" spans="1:10" x14ac:dyDescent="0.25">
      <c r="A492">
        <v>491</v>
      </c>
      <c r="B492" t="s">
        <v>1006</v>
      </c>
      <c r="C492" s="8" t="s">
        <v>1007</v>
      </c>
      <c r="D492" t="s">
        <v>1096</v>
      </c>
      <c r="E492" s="8" t="s">
        <v>1097</v>
      </c>
      <c r="F492" t="s">
        <v>1130</v>
      </c>
      <c r="G492" s="8" t="s">
        <v>1131</v>
      </c>
      <c r="H492" s="9"/>
      <c r="I492" s="10">
        <f>IF(H492="","",H492/5)</f>
      </c>
      <c r="J492" s="11">
        <f>IF(H492="","",VLOOKUP(H492,Escala!$A$2:$C$7,3,FALSE))</f>
      </c>
    </row>
  </sheetData>
  <autoFilter ref="A1:J492"/>
  <dataValidations count="2">
    <dataValidation type="list" allowBlank="1" promptTitle="Nivel de madurez" prompt="0 = No implementado … 5 = Optimizado" showErrorMessage="1" errorStyle="stop" errorTitle="Valor inválido" error="Selecciona un valor entre 0 y 5." sqref="H10:H492">
      <formula1>"0,1,2,3,4,5"</formula1>
    </dataValidation>
    <dataValidation type="list" allowBlank="1" promptTitle="Nivel de madurez" prompt="0 = No implementado … 5 = Optimizado" showErrorMessage="1" errorStyle="stop" errorTitle="Valor inválido" error="Selecciona un valor entre 0 y 5." sqref="H2:H492">
      <formula1>"0,1,2,3,4,5"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B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0" customWidth="1"/>
    <col min="3" max="6" width="20" customWidth="1"/>
    <col min="7" max="7" width="30" customWidth="1"/>
  </cols>
  <sheetData>
    <row r="1" ht="26" customHeight="1" spans="2:7" x14ac:dyDescent="0.25">
      <c r="B1" s="14" t="s">
        <v>1132</v>
      </c>
      <c r="C1" s="14"/>
      <c r="D1" s="14"/>
      <c r="E1" s="14"/>
      <c r="F1" s="14"/>
      <c r="G1" s="14"/>
    </row>
    <row r="3" spans="2:3" x14ac:dyDescent="0.25">
      <c r="B3" s="15" t="s">
        <v>1133</v>
      </c>
      <c r="C3">
        <v>491</v>
      </c>
    </row>
    <row r="4" spans="2:3" x14ac:dyDescent="0.25">
      <c r="B4" s="15" t="s">
        <v>1134</v>
      </c>
      <c r="C4">
        <f>COUNT('Cuestionario - Completo'!$H$2:$H$492)</f>
      </c>
    </row>
    <row r="5" spans="2:3" x14ac:dyDescent="0.25">
      <c r="B5" s="15" t="s">
        <v>1135</v>
      </c>
      <c r="C5">
        <f>SUM('Cuestionario - Completo'!$H$2:$H$492)</f>
      </c>
    </row>
    <row r="6" spans="2:3" x14ac:dyDescent="0.25">
      <c r="B6" s="15" t="s">
        <v>1136</v>
      </c>
      <c r="C6">
        <f>C3*5</f>
      </c>
    </row>
    <row r="7" spans="2:3" x14ac:dyDescent="0.25">
      <c r="B7" s="15" t="s">
        <v>1137</v>
      </c>
      <c r="C7" s="16">
        <f>IF(C6=0,0,C5/C6)</f>
      </c>
    </row>
    <row r="8" spans="2:3" x14ac:dyDescent="0.25">
      <c r="B8" s="15" t="s">
        <v>21</v>
      </c>
      <c r="C8" s="17">
        <f>IF(C7="","",VLOOKUP(C7,'Rangos de Madurez'!$A$2:$C$7,3,TRUE))</f>
      </c>
    </row>
    <row r="9" ht="90" customHeight="1" spans="2:7" x14ac:dyDescent="0.25">
      <c r="B9" s="15" t="s">
        <v>1138</v>
      </c>
      <c r="C9" s="8">
        <f>IF(C7="","",VLOOKUP(C7,'Rangos de Madurez'!$A$2:$D$7,4,TRUE))</f>
      </c>
      <c r="D9" s="8"/>
      <c r="E9" s="8"/>
      <c r="F9" s="8"/>
      <c r="G9" s="8"/>
    </row>
    <row r="12" ht="26" customHeight="1" spans="2:7" x14ac:dyDescent="0.25">
      <c r="B12" s="14" t="s">
        <v>1139</v>
      </c>
      <c r="C12" s="14"/>
      <c r="D12" s="14"/>
      <c r="E12" s="14"/>
      <c r="F12" s="14"/>
      <c r="G12" s="14"/>
    </row>
    <row r="14" ht="28" customHeight="1" spans="2:8" x14ac:dyDescent="0.25">
      <c r="B14" s="18" t="s">
        <v>56</v>
      </c>
      <c r="C14" s="18" t="s">
        <v>57</v>
      </c>
      <c r="D14" s="18" t="s">
        <v>1140</v>
      </c>
      <c r="E14" s="18" t="s">
        <v>1141</v>
      </c>
      <c r="F14" s="18" t="s">
        <v>1142</v>
      </c>
      <c r="G14" s="18" t="s">
        <v>1143</v>
      </c>
      <c r="H14" s="18" t="s">
        <v>21</v>
      </c>
    </row>
    <row r="15" spans="2:8" x14ac:dyDescent="0.25">
      <c r="B15" t="s">
        <v>64</v>
      </c>
      <c r="C15" s="8" t="s">
        <v>65</v>
      </c>
      <c r="D15">
        <f>COUNTIF('Cuestionario - Completo'!$B$2:$B$492,"ADR")</f>
      </c>
      <c r="E15">
        <f>SUMIF('Cuestionario - Completo'!$B$2:$B$492,"ADR",'Cuestionario - Completo'!$H$2:$H$492)</f>
      </c>
      <c r="F15">
        <f>D15*5</f>
      </c>
      <c r="G15" s="19">
        <f>IF(F15=0,0,E15/F15)</f>
      </c>
      <c r="H15">
        <f>IF(G15="","",VLOOKUP(G15,'Rangos de Madurez'!$A$2:$C$7,3,TRUE))</f>
      </c>
    </row>
    <row r="16" spans="2:8" x14ac:dyDescent="0.25">
      <c r="B16" t="s">
        <v>182</v>
      </c>
      <c r="C16" s="8" t="s">
        <v>183</v>
      </c>
      <c r="D16">
        <f>COUNTIF('Cuestionario - Completo'!$B$2:$B$492,"CAP")</f>
      </c>
      <c r="E16">
        <f>SUMIF('Cuestionario - Completo'!$B$2:$B$492,"CAP",'Cuestionario - Completo'!$H$2:$H$492)</f>
      </c>
      <c r="F16">
        <f>D16*5</f>
      </c>
      <c r="G16" s="19">
        <f>IF(F16=0,0,E16/F16)</f>
      </c>
      <c r="H16">
        <f>IF(G16="","",VLOOKUP(G16,'Rangos de Madurez'!$A$2:$C$7,3,TRUE))</f>
      </c>
    </row>
    <row r="17" spans="2:8" x14ac:dyDescent="0.25">
      <c r="B17" t="s">
        <v>274</v>
      </c>
      <c r="C17" s="8" t="s">
        <v>275</v>
      </c>
      <c r="D17">
        <f>COUNTIF('Cuestionario - Completo'!$B$2:$B$492,"CCN")</f>
      </c>
      <c r="E17">
        <f>SUMIF('Cuestionario - Completo'!$B$2:$B$492,"CCN",'Cuestionario - Completo'!$H$2:$H$492)</f>
      </c>
      <c r="F17">
        <f>D17*5</f>
      </c>
      <c r="G17" s="19">
        <f>IF(F17=0,0,E17/F17)</f>
      </c>
      <c r="H17">
        <f>IF(G17="","",VLOOKUP(G17,'Rangos de Madurez'!$A$2:$C$7,3,TRUE))</f>
      </c>
    </row>
    <row r="18" spans="2:8" x14ac:dyDescent="0.25">
      <c r="B18" t="s">
        <v>350</v>
      </c>
      <c r="C18" s="8" t="s">
        <v>351</v>
      </c>
      <c r="D18">
        <f>COUNTIF('Cuestionario - Completo'!$B$2:$B$492,"CIF")</f>
      </c>
      <c r="E18">
        <f>SUMIF('Cuestionario - Completo'!$B$2:$B$492,"CIF",'Cuestionario - Completo'!$H$2:$H$492)</f>
      </c>
      <c r="F18">
        <f>D18*5</f>
      </c>
      <c r="G18" s="19">
        <f>IF(F18=0,0,E18/F18)</f>
      </c>
      <c r="H18">
        <f>IF(G18="","",VLOOKUP(G18,'Rangos de Madurez'!$A$2:$C$7,3,TRUE))</f>
      </c>
    </row>
    <row r="19" spans="2:8" x14ac:dyDescent="0.25">
      <c r="B19" t="s">
        <v>512</v>
      </c>
      <c r="C19" s="8" t="s">
        <v>513</v>
      </c>
      <c r="D19">
        <f>COUNTIF('Cuestionario - Completo'!$B$2:$B$492,"CIP")</f>
      </c>
      <c r="E19">
        <f>SUMIF('Cuestionario - Completo'!$B$2:$B$492,"CIP",'Cuestionario - Completo'!$H$2:$H$492)</f>
      </c>
      <c r="F19">
        <f>D19*5</f>
      </c>
      <c r="G19" s="19">
        <f>IF(F19=0,0,E19/F19)</f>
      </c>
      <c r="H19">
        <f>IF(G19="","",VLOOKUP(G19,'Rangos de Madurez'!$A$2:$C$7,3,TRUE))</f>
      </c>
    </row>
    <row r="20" spans="2:8" x14ac:dyDescent="0.25">
      <c r="B20" t="s">
        <v>660</v>
      </c>
      <c r="C20" s="8" t="s">
        <v>661</v>
      </c>
      <c r="D20">
        <f>COUNTIF('Cuestionario - Completo'!$B$2:$B$492,"COR")</f>
      </c>
      <c r="E20">
        <f>SUMIF('Cuestionario - Completo'!$B$2:$B$492,"COR",'Cuestionario - Completo'!$H$2:$H$492)</f>
      </c>
      <c r="F20">
        <f>D20*5</f>
      </c>
      <c r="G20" s="19">
        <f>IF(F20=0,0,E20/F20)</f>
      </c>
      <c r="H20">
        <f>IF(G20="","",VLOOKUP(G20,'Rangos de Madurez'!$A$2:$C$7,3,TRUE))</f>
      </c>
    </row>
    <row r="21" spans="2:8" x14ac:dyDescent="0.25">
      <c r="B21" t="s">
        <v>838</v>
      </c>
      <c r="C21" s="8" t="s">
        <v>839</v>
      </c>
      <c r="D21">
        <f>COUNTIF('Cuestionario - Completo'!$B$2:$B$492,"DIA")</f>
      </c>
      <c r="E21">
        <f>SUMIF('Cuestionario - Completo'!$B$2:$B$492,"DIA",'Cuestionario - Completo'!$H$2:$H$492)</f>
      </c>
      <c r="F21">
        <f>D21*5</f>
      </c>
      <c r="G21" s="19">
        <f>IF(F21=0,0,E21/F21)</f>
      </c>
      <c r="H21">
        <f>IF(G21="","",VLOOKUP(G21,'Rangos de Madurez'!$A$2:$C$7,3,TRUE))</f>
      </c>
    </row>
    <row r="22" spans="2:8" x14ac:dyDescent="0.25">
      <c r="B22" t="s">
        <v>1006</v>
      </c>
      <c r="C22" s="8" t="s">
        <v>1007</v>
      </c>
      <c r="D22">
        <f>COUNTIF('Cuestionario - Completo'!$B$2:$B$492,"THP")</f>
      </c>
      <c r="E22">
        <f>SUMIF('Cuestionario - Completo'!$B$2:$B$492,"THP",'Cuestionario - Completo'!$H$2:$H$492)</f>
      </c>
      <c r="F22">
        <f>D22*5</f>
      </c>
      <c r="G22" s="19">
        <f>IF(F22=0,0,E22/F22)</f>
      </c>
      <c r="H22">
        <f>IF(G22="","",VLOOKUP(G22,'Rangos de Madurez'!$A$2:$C$7,3,TRUE))</f>
      </c>
    </row>
  </sheetData>
  <mergeCells count="3">
    <mergeCell ref="B1:G1"/>
    <mergeCell ref="C9:G9"/>
    <mergeCell ref="B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</sheetPr>
  <dimension ref="A1:B4"/>
  <sheetFormatPr defaultRowHeight="15" outlineLevelRow="0" outlineLevelCol="0" x14ac:dyDescent="55"/>
  <cols>
    <col min="1" max="1" width="4" customWidth="1"/>
    <col min="2" max="2" width="100" customWidth="1"/>
  </cols>
  <sheetData>
    <row r="1" spans="1:2" x14ac:dyDescent="0.25">
      <c r="A1" t="s">
        <v>0</v>
      </c>
      <c r="B1" s="20" t="s">
        <v>1144</v>
      </c>
    </row>
    <row r="3" spans="1:2" x14ac:dyDescent="0.25">
      <c r="A3" t="s">
        <v>0</v>
      </c>
      <c r="B3" s="21" t="s">
        <v>1145</v>
      </c>
    </row>
    <row r="4" spans="1:2" x14ac:dyDescent="0.25">
      <c r="A4" t="s">
        <v>0</v>
      </c>
      <c r="B4" s="21" t="s">
        <v>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</sheetPr>
  <dimension ref="A1:B4"/>
  <sheetFormatPr defaultRowHeight="15" outlineLevelRow="0" outlineLevelCol="0" x14ac:dyDescent="55"/>
  <cols>
    <col min="1" max="1" width="4" customWidth="1"/>
    <col min="2" max="2" width="100" customWidth="1"/>
  </cols>
  <sheetData>
    <row r="1" spans="1:2" x14ac:dyDescent="0.25">
      <c r="A1" t="s">
        <v>0</v>
      </c>
      <c r="B1" s="20" t="s">
        <v>1147</v>
      </c>
    </row>
    <row r="3" spans="1:2" x14ac:dyDescent="0.25">
      <c r="A3" t="s">
        <v>0</v>
      </c>
      <c r="B3" s="21" t="s">
        <v>1145</v>
      </c>
    </row>
    <row r="4" spans="1:2" x14ac:dyDescent="0.25">
      <c r="A4" t="s">
        <v>0</v>
      </c>
      <c r="B4" s="21" t="s">
        <v>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</sheetPr>
  <dimension ref="A1:B4"/>
  <sheetFormatPr defaultRowHeight="15" outlineLevelRow="0" outlineLevelCol="0" x14ac:dyDescent="55"/>
  <cols>
    <col min="1" max="1" width="4" customWidth="1"/>
    <col min="2" max="2" width="100" customWidth="1"/>
  </cols>
  <sheetData>
    <row r="1" spans="1:2" x14ac:dyDescent="0.25">
      <c r="A1" t="s">
        <v>0</v>
      </c>
      <c r="B1" s="20" t="s">
        <v>1148</v>
      </c>
    </row>
    <row r="3" spans="1:2" x14ac:dyDescent="0.25">
      <c r="A3" t="s">
        <v>0</v>
      </c>
      <c r="B3" s="21" t="s">
        <v>1145</v>
      </c>
    </row>
    <row r="4" spans="1:2" x14ac:dyDescent="0.25">
      <c r="A4" t="s">
        <v>0</v>
      </c>
      <c r="B4" s="21" t="s">
        <v>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Escala</vt:lpstr>
      <vt:lpstr>Rangos de Madurez</vt:lpstr>
      <vt:lpstr>Cuestionario - Completo</vt:lpstr>
      <vt:lpstr>Resultado - Completo</vt:lpstr>
      <vt:lpstr>Cuestionario - Interno</vt:lpstr>
      <vt:lpstr>Cuestionario - Terceros</vt:lpstr>
      <vt:lpstr>Cuestionario - Externo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Kudo</dc:creator>
  <dc:title/>
  <dc:subject/>
  <dc:description/>
  <cp:keywords/>
  <cp:category/>
  <cp:lastModifiedBy>Unknown</cp:lastModifiedBy>
  <dcterms:created xsi:type="dcterms:W3CDTF">2026-07-05T17:25:55Z</dcterms:created>
  <dcterms:modified xsi:type="dcterms:W3CDTF">2026-07-05T17:25:55Z</dcterms:modified>
</cp:coreProperties>
</file>